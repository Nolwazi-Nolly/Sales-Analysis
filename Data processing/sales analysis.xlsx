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a0ab3191bdd4b2/Documents/BOBOE/SQL Quries/"/>
    </mc:Choice>
  </mc:AlternateContent>
  <xr:revisionPtr revIDLastSave="421" documentId="8_{DFE53F80-F4EB-409D-87B9-91ADE10EAAFE}" xr6:coauthVersionLast="47" xr6:coauthVersionMax="47" xr10:uidLastSave="{ED16FE49-C054-4EE9-96A1-FFC13EFA157C}"/>
  <bookViews>
    <workbookView xWindow="-120" yWindow="-120" windowWidth="20730" windowHeight="11040" activeTab="1" xr2:uid="{4E1C468D-867F-40EB-BC1E-21427A85FA5E}"/>
  </bookViews>
  <sheets>
    <sheet name="charts" sheetId="3" r:id="rId1"/>
    <sheet name="data 1" sheetId="1" r:id="rId2"/>
    <sheet name="daily  data analysi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2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P52" i="1"/>
  <c r="P40" i="1"/>
  <c r="P41" i="1"/>
  <c r="P42" i="1"/>
  <c r="P43" i="1"/>
  <c r="P44" i="1"/>
  <c r="P45" i="1"/>
  <c r="P46" i="1"/>
  <c r="P47" i="1"/>
  <c r="P48" i="1"/>
  <c r="P49" i="1"/>
  <c r="P50" i="1"/>
  <c r="P51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40" i="1"/>
  <c r="X19" i="1"/>
  <c r="X18" i="1"/>
  <c r="X17" i="1"/>
  <c r="W18" i="1"/>
  <c r="W19" i="1"/>
  <c r="W17" i="1"/>
  <c r="Z4" i="1"/>
  <c r="Z3" i="1"/>
  <c r="Z2" i="1"/>
  <c r="Y4" i="1"/>
  <c r="Y3" i="1"/>
  <c r="Y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I441" i="2" s="1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I703" i="2" s="1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I953" i="2" s="1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I1025" i="2" s="1"/>
  <c r="H1026" i="2"/>
  <c r="H1027" i="2"/>
  <c r="H1028" i="2"/>
  <c r="H1029" i="2"/>
  <c r="H1030" i="2"/>
  <c r="H1031" i="2"/>
  <c r="H1032" i="2"/>
  <c r="H1033" i="2"/>
  <c r="I1033" i="2" s="1"/>
  <c r="H1034" i="2"/>
  <c r="H1035" i="2"/>
  <c r="H1036" i="2"/>
  <c r="H1037" i="2"/>
  <c r="H1038" i="2"/>
  <c r="H1039" i="2"/>
  <c r="H1040" i="2"/>
  <c r="H1041" i="2"/>
  <c r="I1041" i="2" s="1"/>
  <c r="H1042" i="2"/>
  <c r="H1043" i="2"/>
  <c r="H1044" i="2"/>
  <c r="H1045" i="2"/>
  <c r="H1046" i="2"/>
  <c r="H1047" i="2"/>
  <c r="H1048" i="2"/>
  <c r="H1049" i="2"/>
  <c r="I1049" i="2" s="1"/>
  <c r="H1050" i="2"/>
  <c r="H1051" i="2"/>
  <c r="H1052" i="2"/>
  <c r="I1052" i="2" s="1"/>
  <c r="H1053" i="2"/>
  <c r="H1054" i="2"/>
  <c r="I1054" i="2" s="1"/>
  <c r="H2" i="2"/>
  <c r="I945" i="2" l="1"/>
  <c r="I905" i="2"/>
  <c r="I873" i="2"/>
  <c r="I833" i="2"/>
  <c r="I801" i="2"/>
  <c r="I753" i="2"/>
  <c r="I705" i="2"/>
  <c r="I657" i="2"/>
  <c r="I641" i="2"/>
  <c r="I609" i="2"/>
  <c r="I593" i="2"/>
  <c r="I553" i="2"/>
  <c r="I529" i="2"/>
  <c r="I489" i="2"/>
  <c r="I481" i="2"/>
  <c r="I449" i="2"/>
  <c r="I393" i="2"/>
  <c r="I273" i="2"/>
  <c r="I161" i="2"/>
  <c r="I121" i="2"/>
  <c r="I89" i="2"/>
  <c r="I33" i="2"/>
  <c r="I687" i="2"/>
  <c r="I993" i="2"/>
  <c r="I985" i="2"/>
  <c r="I929" i="2"/>
  <c r="I817" i="2"/>
  <c r="I1009" i="2"/>
  <c r="I969" i="2"/>
  <c r="I937" i="2"/>
  <c r="I881" i="2"/>
  <c r="I825" i="2"/>
  <c r="I785" i="2"/>
  <c r="I745" i="2"/>
  <c r="I649" i="2"/>
  <c r="I217" i="2"/>
  <c r="I1036" i="2"/>
  <c r="I1020" i="2"/>
  <c r="I1004" i="2"/>
  <c r="I988" i="2"/>
  <c r="I972" i="2"/>
  <c r="I956" i="2"/>
  <c r="I940" i="2"/>
  <c r="I924" i="2"/>
  <c r="I908" i="2"/>
  <c r="I892" i="2"/>
  <c r="I876" i="2"/>
  <c r="I860" i="2"/>
  <c r="I844" i="2"/>
  <c r="I828" i="2"/>
  <c r="I812" i="2"/>
  <c r="I796" i="2"/>
  <c r="I780" i="2"/>
  <c r="I764" i="2"/>
  <c r="I748" i="2"/>
  <c r="I732" i="2"/>
  <c r="I716" i="2"/>
  <c r="I700" i="2"/>
  <c r="I684" i="2"/>
  <c r="I668" i="2"/>
  <c r="I652" i="2"/>
  <c r="I644" i="2"/>
  <c r="I636" i="2"/>
  <c r="I628" i="2"/>
  <c r="I620" i="2"/>
  <c r="I612" i="2"/>
  <c r="I604" i="2"/>
  <c r="I596" i="2"/>
  <c r="I564" i="2"/>
  <c r="I1044" i="2"/>
  <c r="I1028" i="2"/>
  <c r="I1012" i="2"/>
  <c r="I996" i="2"/>
  <c r="I980" i="2"/>
  <c r="I964" i="2"/>
  <c r="I948" i="2"/>
  <c r="I932" i="2"/>
  <c r="I916" i="2"/>
  <c r="I900" i="2"/>
  <c r="I884" i="2"/>
  <c r="I868" i="2"/>
  <c r="I852" i="2"/>
  <c r="I836" i="2"/>
  <c r="I820" i="2"/>
  <c r="I804" i="2"/>
  <c r="I788" i="2"/>
  <c r="I772" i="2"/>
  <c r="I756" i="2"/>
  <c r="I740" i="2"/>
  <c r="I724" i="2"/>
  <c r="I708" i="2"/>
  <c r="I692" i="2"/>
  <c r="I676" i="2"/>
  <c r="I660" i="2"/>
  <c r="I588" i="2"/>
  <c r="I580" i="2"/>
  <c r="I572" i="2"/>
  <c r="I556" i="2"/>
  <c r="I548" i="2"/>
  <c r="I540" i="2"/>
  <c r="I532" i="2"/>
  <c r="I524" i="2"/>
  <c r="I516" i="2"/>
  <c r="I508" i="2"/>
  <c r="I500" i="2"/>
  <c r="I492" i="2"/>
  <c r="I484" i="2"/>
  <c r="I476" i="2"/>
  <c r="I468" i="2"/>
  <c r="I460" i="2"/>
  <c r="I452" i="2"/>
  <c r="I444" i="2"/>
  <c r="I436" i="2"/>
  <c r="I428" i="2"/>
  <c r="I420" i="2"/>
  <c r="I412" i="2"/>
  <c r="I404" i="2"/>
  <c r="I396" i="2"/>
  <c r="I388" i="2"/>
  <c r="I380" i="2"/>
  <c r="I372" i="2"/>
  <c r="I364" i="2"/>
  <c r="I356" i="2"/>
  <c r="I348" i="2"/>
  <c r="I340" i="2"/>
  <c r="I332" i="2"/>
  <c r="I324" i="2"/>
  <c r="I316" i="2"/>
  <c r="I308" i="2"/>
  <c r="I300" i="2"/>
  <c r="I292" i="2"/>
  <c r="I284" i="2"/>
  <c r="I276" i="2"/>
  <c r="I268" i="2"/>
  <c r="I260" i="2"/>
  <c r="I252" i="2"/>
  <c r="I244" i="2"/>
  <c r="I236" i="2"/>
  <c r="I228" i="2"/>
  <c r="I220" i="2"/>
  <c r="I212" i="2"/>
  <c r="I204" i="2"/>
  <c r="I196" i="2"/>
  <c r="I188" i="2"/>
  <c r="I180" i="2"/>
  <c r="I172" i="2"/>
  <c r="I164" i="2"/>
  <c r="I156" i="2"/>
  <c r="I148" i="2"/>
  <c r="I140" i="2"/>
  <c r="I132" i="2"/>
  <c r="I124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I4" i="2"/>
  <c r="I809" i="2"/>
  <c r="I681" i="2"/>
  <c r="I617" i="2"/>
  <c r="I577" i="2"/>
  <c r="I569" i="2"/>
  <c r="I545" i="2"/>
  <c r="I513" i="2"/>
  <c r="I473" i="2"/>
  <c r="I425" i="2"/>
  <c r="I369" i="2"/>
  <c r="I329" i="2"/>
  <c r="I321" i="2"/>
  <c r="I289" i="2"/>
  <c r="I265" i="2"/>
  <c r="I225" i="2"/>
  <c r="I209" i="2"/>
  <c r="I185" i="2"/>
  <c r="I97" i="2"/>
  <c r="I25" i="2"/>
  <c r="I1001" i="2"/>
  <c r="I977" i="2"/>
  <c r="I913" i="2"/>
  <c r="I889" i="2"/>
  <c r="I857" i="2"/>
  <c r="I849" i="2"/>
  <c r="I777" i="2"/>
  <c r="I761" i="2"/>
  <c r="I737" i="2"/>
  <c r="I713" i="2"/>
  <c r="I697" i="2"/>
  <c r="I665" i="2"/>
  <c r="I633" i="2"/>
  <c r="I601" i="2"/>
  <c r="I585" i="2"/>
  <c r="I561" i="2"/>
  <c r="I537" i="2"/>
  <c r="I521" i="2"/>
  <c r="I497" i="2"/>
  <c r="I457" i="2"/>
  <c r="I433" i="2"/>
  <c r="I409" i="2"/>
  <c r="I385" i="2"/>
  <c r="I353" i="2"/>
  <c r="I345" i="2"/>
  <c r="I313" i="2"/>
  <c r="I281" i="2"/>
  <c r="I249" i="2"/>
  <c r="I241" i="2"/>
  <c r="I201" i="2"/>
  <c r="I169" i="2"/>
  <c r="I145" i="2"/>
  <c r="I137" i="2"/>
  <c r="I113" i="2"/>
  <c r="I73" i="2"/>
  <c r="I65" i="2"/>
  <c r="I41" i="2"/>
  <c r="I17" i="2"/>
  <c r="L1048" i="2"/>
  <c r="I1048" i="2"/>
  <c r="L1040" i="2"/>
  <c r="I1040" i="2"/>
  <c r="L1032" i="2"/>
  <c r="I1032" i="2"/>
  <c r="L1024" i="2"/>
  <c r="I1024" i="2"/>
  <c r="L1016" i="2"/>
  <c r="I1016" i="2"/>
  <c r="L1008" i="2"/>
  <c r="I1008" i="2"/>
  <c r="L1000" i="2"/>
  <c r="I1000" i="2"/>
  <c r="L992" i="2"/>
  <c r="I992" i="2"/>
  <c r="L984" i="2"/>
  <c r="I984" i="2"/>
  <c r="L976" i="2"/>
  <c r="I976" i="2"/>
  <c r="L968" i="2"/>
  <c r="I968" i="2"/>
  <c r="L960" i="2"/>
  <c r="I960" i="2"/>
  <c r="L952" i="2"/>
  <c r="I952" i="2"/>
  <c r="L944" i="2"/>
  <c r="I944" i="2"/>
  <c r="L936" i="2"/>
  <c r="I936" i="2"/>
  <c r="L928" i="2"/>
  <c r="I928" i="2"/>
  <c r="L920" i="2"/>
  <c r="I920" i="2"/>
  <c r="L912" i="2"/>
  <c r="I912" i="2"/>
  <c r="L904" i="2"/>
  <c r="I904" i="2"/>
  <c r="L896" i="2"/>
  <c r="I896" i="2"/>
  <c r="L888" i="2"/>
  <c r="I888" i="2"/>
  <c r="L880" i="2"/>
  <c r="I880" i="2"/>
  <c r="L872" i="2"/>
  <c r="I872" i="2"/>
  <c r="L864" i="2"/>
  <c r="I864" i="2"/>
  <c r="L856" i="2"/>
  <c r="I856" i="2"/>
  <c r="L848" i="2"/>
  <c r="I848" i="2"/>
  <c r="L840" i="2"/>
  <c r="I840" i="2"/>
  <c r="L832" i="2"/>
  <c r="I832" i="2"/>
  <c r="L824" i="2"/>
  <c r="I824" i="2"/>
  <c r="L816" i="2"/>
  <c r="I816" i="2"/>
  <c r="L808" i="2"/>
  <c r="I808" i="2"/>
  <c r="L800" i="2"/>
  <c r="I800" i="2"/>
  <c r="L792" i="2"/>
  <c r="I792" i="2"/>
  <c r="L784" i="2"/>
  <c r="I784" i="2"/>
  <c r="L776" i="2"/>
  <c r="I776" i="2"/>
  <c r="L768" i="2"/>
  <c r="I768" i="2"/>
  <c r="L760" i="2"/>
  <c r="I760" i="2"/>
  <c r="L752" i="2"/>
  <c r="I752" i="2"/>
  <c r="L744" i="2"/>
  <c r="I744" i="2"/>
  <c r="L736" i="2"/>
  <c r="I736" i="2"/>
  <c r="L728" i="2"/>
  <c r="I728" i="2"/>
  <c r="L720" i="2"/>
  <c r="I720" i="2"/>
  <c r="L712" i="2"/>
  <c r="I712" i="2"/>
  <c r="L704" i="2"/>
  <c r="I704" i="2"/>
  <c r="L696" i="2"/>
  <c r="I696" i="2"/>
  <c r="I688" i="2"/>
  <c r="I1017" i="2"/>
  <c r="I961" i="2"/>
  <c r="I921" i="2"/>
  <c r="I897" i="2"/>
  <c r="I865" i="2"/>
  <c r="I841" i="2"/>
  <c r="I793" i="2"/>
  <c r="I769" i="2"/>
  <c r="I729" i="2"/>
  <c r="I721" i="2"/>
  <c r="I689" i="2"/>
  <c r="I673" i="2"/>
  <c r="I625" i="2"/>
  <c r="I505" i="2"/>
  <c r="I465" i="2"/>
  <c r="I417" i="2"/>
  <c r="I401" i="2"/>
  <c r="I377" i="2"/>
  <c r="I361" i="2"/>
  <c r="I337" i="2"/>
  <c r="I305" i="2"/>
  <c r="I297" i="2"/>
  <c r="I257" i="2"/>
  <c r="I233" i="2"/>
  <c r="I193" i="2"/>
  <c r="I177" i="2"/>
  <c r="I153" i="2"/>
  <c r="I129" i="2"/>
  <c r="I105" i="2"/>
  <c r="I81" i="2"/>
  <c r="I57" i="2"/>
  <c r="I49" i="2"/>
  <c r="I9" i="2"/>
  <c r="I1047" i="2"/>
  <c r="I1039" i="2"/>
  <c r="I1031" i="2"/>
  <c r="I1023" i="2"/>
  <c r="I1015" i="2"/>
  <c r="I1007" i="2"/>
  <c r="I999" i="2"/>
  <c r="I991" i="2"/>
  <c r="I983" i="2"/>
  <c r="I975" i="2"/>
  <c r="I967" i="2"/>
  <c r="I959" i="2"/>
  <c r="I951" i="2"/>
  <c r="I943" i="2"/>
  <c r="I935" i="2"/>
  <c r="I927" i="2"/>
  <c r="I919" i="2"/>
  <c r="I911" i="2"/>
  <c r="I903" i="2"/>
  <c r="I895" i="2"/>
  <c r="I887" i="2"/>
  <c r="I879" i="2"/>
  <c r="I871" i="2"/>
  <c r="I863" i="2"/>
  <c r="I855" i="2"/>
  <c r="I847" i="2"/>
  <c r="I839" i="2"/>
  <c r="I831" i="2"/>
  <c r="I823" i="2"/>
  <c r="I815" i="2"/>
  <c r="I807" i="2"/>
  <c r="I799" i="2"/>
  <c r="I791" i="2"/>
  <c r="I783" i="2"/>
  <c r="I775" i="2"/>
  <c r="I767" i="2"/>
  <c r="I759" i="2"/>
  <c r="I751" i="2"/>
  <c r="I743" i="2"/>
  <c r="I735" i="2"/>
  <c r="I727" i="2"/>
  <c r="I719" i="2"/>
  <c r="I711" i="2"/>
  <c r="I695" i="2"/>
  <c r="I671" i="2"/>
  <c r="I615" i="2"/>
  <c r="I1046" i="2"/>
  <c r="I1030" i="2"/>
  <c r="I1014" i="2"/>
  <c r="I998" i="2"/>
  <c r="I982" i="2"/>
  <c r="I966" i="2"/>
  <c r="I950" i="2"/>
  <c r="I934" i="2"/>
  <c r="I918" i="2"/>
  <c r="I902" i="2"/>
  <c r="I886" i="2"/>
  <c r="I870" i="2"/>
  <c r="I854" i="2"/>
  <c r="I838" i="2"/>
  <c r="I830" i="2"/>
  <c r="I822" i="2"/>
  <c r="I806" i="2"/>
  <c r="I790" i="2"/>
  <c r="I774" i="2"/>
  <c r="I758" i="2"/>
  <c r="I742" i="2"/>
  <c r="I726" i="2"/>
  <c r="I710" i="2"/>
  <c r="I694" i="2"/>
  <c r="I678" i="2"/>
  <c r="I662" i="2"/>
  <c r="I646" i="2"/>
  <c r="I630" i="2"/>
  <c r="I614" i="2"/>
  <c r="I598" i="2"/>
  <c r="I582" i="2"/>
  <c r="I566" i="2"/>
  <c r="I550" i="2"/>
  <c r="I534" i="2"/>
  <c r="I518" i="2"/>
  <c r="I502" i="2"/>
  <c r="I486" i="2"/>
  <c r="I462" i="2"/>
  <c r="I446" i="2"/>
  <c r="I390" i="2"/>
  <c r="I374" i="2"/>
  <c r="I366" i="2"/>
  <c r="I358" i="2"/>
  <c r="I342" i="2"/>
  <c r="I334" i="2"/>
  <c r="I318" i="2"/>
  <c r="I302" i="2"/>
  <c r="I278" i="2"/>
  <c r="I198" i="2"/>
  <c r="I190" i="2"/>
  <c r="I174" i="2"/>
  <c r="I166" i="2"/>
  <c r="I158" i="2"/>
  <c r="I142" i="2"/>
  <c r="I126" i="2"/>
  <c r="I110" i="2"/>
  <c r="I70" i="2"/>
  <c r="I62" i="2"/>
  <c r="I46" i="2"/>
  <c r="I38" i="2"/>
  <c r="I14" i="2"/>
  <c r="I1038" i="2"/>
  <c r="I1022" i="2"/>
  <c r="I1006" i="2"/>
  <c r="I990" i="2"/>
  <c r="I974" i="2"/>
  <c r="I958" i="2"/>
  <c r="I942" i="2"/>
  <c r="I926" i="2"/>
  <c r="I910" i="2"/>
  <c r="I894" i="2"/>
  <c r="I878" i="2"/>
  <c r="I862" i="2"/>
  <c r="I846" i="2"/>
  <c r="I814" i="2"/>
  <c r="I798" i="2"/>
  <c r="I782" i="2"/>
  <c r="I766" i="2"/>
  <c r="I750" i="2"/>
  <c r="I734" i="2"/>
  <c r="I718" i="2"/>
  <c r="I702" i="2"/>
  <c r="I686" i="2"/>
  <c r="I670" i="2"/>
  <c r="I654" i="2"/>
  <c r="I638" i="2"/>
  <c r="I622" i="2"/>
  <c r="I606" i="2"/>
  <c r="I590" i="2"/>
  <c r="I574" i="2"/>
  <c r="I558" i="2"/>
  <c r="I542" i="2"/>
  <c r="I526" i="2"/>
  <c r="I510" i="2"/>
  <c r="I494" i="2"/>
  <c r="I478" i="2"/>
  <c r="I470" i="2"/>
  <c r="I454" i="2"/>
  <c r="I438" i="2"/>
  <c r="I430" i="2"/>
  <c r="I422" i="2"/>
  <c r="I414" i="2"/>
  <c r="I406" i="2"/>
  <c r="I398" i="2"/>
  <c r="I382" i="2"/>
  <c r="I350" i="2"/>
  <c r="I1053" i="2"/>
  <c r="I1045" i="2"/>
  <c r="I1037" i="2"/>
  <c r="I1029" i="2"/>
  <c r="I1021" i="2"/>
  <c r="I1013" i="2"/>
  <c r="I1005" i="2"/>
  <c r="I997" i="2"/>
  <c r="I989" i="2"/>
  <c r="I981" i="2"/>
  <c r="I973" i="2"/>
  <c r="I965" i="2"/>
  <c r="I957" i="2"/>
  <c r="I949" i="2"/>
  <c r="I941" i="2"/>
  <c r="I933" i="2"/>
  <c r="I925" i="2"/>
  <c r="I917" i="2"/>
  <c r="I909" i="2"/>
  <c r="I901" i="2"/>
  <c r="I893" i="2"/>
  <c r="I885" i="2"/>
  <c r="I877" i="2"/>
  <c r="I869" i="2"/>
  <c r="I861" i="2"/>
  <c r="I853" i="2"/>
  <c r="I1051" i="2"/>
  <c r="I1043" i="2"/>
  <c r="I1035" i="2"/>
  <c r="I1027" i="2"/>
  <c r="I1019" i="2"/>
  <c r="I1011" i="2"/>
  <c r="I1050" i="2"/>
  <c r="I1042" i="2"/>
  <c r="I1034" i="2"/>
  <c r="I1026" i="2"/>
  <c r="I1018" i="2"/>
  <c r="I1010" i="2"/>
  <c r="I1002" i="2"/>
  <c r="I994" i="2"/>
  <c r="I986" i="2"/>
  <c r="I978" i="2"/>
  <c r="I970" i="2"/>
  <c r="I962" i="2"/>
  <c r="I954" i="2"/>
  <c r="I946" i="2"/>
  <c r="I938" i="2"/>
  <c r="I930" i="2"/>
  <c r="I922" i="2"/>
  <c r="I914" i="2"/>
  <c r="I906" i="2"/>
  <c r="I898" i="2"/>
  <c r="I890" i="2"/>
  <c r="I882" i="2"/>
  <c r="I874" i="2"/>
  <c r="I866" i="2"/>
  <c r="I680" i="2"/>
  <c r="I672" i="2"/>
  <c r="I664" i="2"/>
  <c r="I656" i="2"/>
  <c r="I648" i="2"/>
  <c r="I640" i="2"/>
  <c r="I632" i="2"/>
  <c r="I624" i="2"/>
  <c r="I616" i="2"/>
  <c r="I608" i="2"/>
  <c r="I600" i="2"/>
  <c r="I592" i="2"/>
  <c r="I584" i="2"/>
  <c r="I576" i="2"/>
  <c r="I568" i="2"/>
  <c r="I560" i="2"/>
  <c r="I552" i="2"/>
  <c r="I544" i="2"/>
  <c r="I536" i="2"/>
  <c r="I528" i="2"/>
  <c r="I520" i="2"/>
  <c r="I512" i="2"/>
  <c r="I504" i="2"/>
  <c r="I496" i="2"/>
  <c r="I488" i="2"/>
  <c r="I480" i="2"/>
  <c r="I472" i="2"/>
  <c r="I464" i="2"/>
  <c r="I456" i="2"/>
  <c r="I448" i="2"/>
  <c r="I440" i="2"/>
  <c r="I432" i="2"/>
  <c r="I424" i="2"/>
  <c r="I416" i="2"/>
  <c r="I408" i="2"/>
  <c r="I400" i="2"/>
  <c r="I392" i="2"/>
  <c r="I384" i="2"/>
  <c r="I376" i="2"/>
  <c r="I368" i="2"/>
  <c r="I360" i="2"/>
  <c r="I352" i="2"/>
  <c r="I344" i="2"/>
  <c r="I336" i="2"/>
  <c r="I328" i="2"/>
  <c r="I320" i="2"/>
  <c r="I312" i="2"/>
  <c r="I304" i="2"/>
  <c r="I296" i="2"/>
  <c r="I288" i="2"/>
  <c r="I280" i="2"/>
  <c r="I272" i="2"/>
  <c r="I264" i="2"/>
  <c r="I256" i="2"/>
  <c r="I248" i="2"/>
  <c r="I240" i="2"/>
  <c r="I232" i="2"/>
  <c r="I224" i="2"/>
  <c r="I216" i="2"/>
  <c r="I208" i="2"/>
  <c r="I200" i="2"/>
  <c r="I192" i="2"/>
  <c r="I184" i="2"/>
  <c r="I176" i="2"/>
  <c r="I168" i="2"/>
  <c r="I160" i="2"/>
  <c r="I152" i="2"/>
  <c r="I144" i="2"/>
  <c r="I136" i="2"/>
  <c r="I128" i="2"/>
  <c r="I120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I679" i="2"/>
  <c r="I663" i="2"/>
  <c r="I655" i="2"/>
  <c r="I647" i="2"/>
  <c r="I639" i="2"/>
  <c r="I631" i="2"/>
  <c r="I623" i="2"/>
  <c r="I607" i="2"/>
  <c r="I599" i="2"/>
  <c r="I591" i="2"/>
  <c r="I583" i="2"/>
  <c r="I575" i="2"/>
  <c r="I567" i="2"/>
  <c r="I559" i="2"/>
  <c r="I551" i="2"/>
  <c r="I543" i="2"/>
  <c r="I535" i="2"/>
  <c r="I527" i="2"/>
  <c r="I519" i="2"/>
  <c r="I511" i="2"/>
  <c r="I503" i="2"/>
  <c r="I495" i="2"/>
  <c r="I487" i="2"/>
  <c r="I479" i="2"/>
  <c r="I471" i="2"/>
  <c r="I463" i="2"/>
  <c r="I455" i="2"/>
  <c r="I447" i="2"/>
  <c r="I439" i="2"/>
  <c r="I431" i="2"/>
  <c r="I423" i="2"/>
  <c r="I415" i="2"/>
  <c r="I407" i="2"/>
  <c r="I399" i="2"/>
  <c r="I391" i="2"/>
  <c r="I383" i="2"/>
  <c r="I375" i="2"/>
  <c r="I367" i="2"/>
  <c r="I359" i="2"/>
  <c r="I351" i="2"/>
  <c r="I343" i="2"/>
  <c r="I335" i="2"/>
  <c r="I327" i="2"/>
  <c r="I319" i="2"/>
  <c r="I311" i="2"/>
  <c r="I303" i="2"/>
  <c r="I295" i="2"/>
  <c r="I287" i="2"/>
  <c r="I279" i="2"/>
  <c r="I271" i="2"/>
  <c r="I263" i="2"/>
  <c r="I255" i="2"/>
  <c r="I247" i="2"/>
  <c r="I239" i="2"/>
  <c r="I231" i="2"/>
  <c r="I223" i="2"/>
  <c r="I215" i="2"/>
  <c r="I207" i="2"/>
  <c r="I199" i="2"/>
  <c r="I191" i="2"/>
  <c r="I183" i="2"/>
  <c r="I175" i="2"/>
  <c r="I167" i="2"/>
  <c r="I159" i="2"/>
  <c r="I151" i="2"/>
  <c r="I143" i="2"/>
  <c r="I135" i="2"/>
  <c r="I127" i="2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7" i="2"/>
  <c r="I845" i="2"/>
  <c r="I837" i="2"/>
  <c r="I829" i="2"/>
  <c r="I821" i="2"/>
  <c r="I813" i="2"/>
  <c r="I805" i="2"/>
  <c r="I797" i="2"/>
  <c r="I789" i="2"/>
  <c r="I781" i="2"/>
  <c r="I773" i="2"/>
  <c r="I765" i="2"/>
  <c r="I757" i="2"/>
  <c r="I749" i="2"/>
  <c r="I741" i="2"/>
  <c r="I733" i="2"/>
  <c r="I725" i="2"/>
  <c r="I717" i="2"/>
  <c r="I709" i="2"/>
  <c r="I701" i="2"/>
  <c r="I693" i="2"/>
  <c r="I685" i="2"/>
  <c r="I677" i="2"/>
  <c r="I669" i="2"/>
  <c r="I661" i="2"/>
  <c r="I653" i="2"/>
  <c r="I645" i="2"/>
  <c r="I637" i="2"/>
  <c r="I629" i="2"/>
  <c r="I621" i="2"/>
  <c r="I613" i="2"/>
  <c r="I605" i="2"/>
  <c r="I597" i="2"/>
  <c r="I589" i="2"/>
  <c r="I581" i="2"/>
  <c r="I573" i="2"/>
  <c r="I565" i="2"/>
  <c r="I557" i="2"/>
  <c r="I549" i="2"/>
  <c r="I541" i="2"/>
  <c r="I533" i="2"/>
  <c r="I525" i="2"/>
  <c r="I517" i="2"/>
  <c r="I509" i="2"/>
  <c r="I501" i="2"/>
  <c r="I493" i="2"/>
  <c r="I485" i="2"/>
  <c r="I477" i="2"/>
  <c r="I469" i="2"/>
  <c r="I461" i="2"/>
  <c r="I453" i="2"/>
  <c r="I445" i="2"/>
  <c r="I437" i="2"/>
  <c r="I429" i="2"/>
  <c r="I421" i="2"/>
  <c r="I413" i="2"/>
  <c r="I405" i="2"/>
  <c r="I397" i="2"/>
  <c r="I389" i="2"/>
  <c r="I381" i="2"/>
  <c r="I373" i="2"/>
  <c r="I365" i="2"/>
  <c r="I357" i="2"/>
  <c r="I349" i="2"/>
  <c r="I341" i="2"/>
  <c r="I333" i="2"/>
  <c r="I325" i="2"/>
  <c r="I317" i="2"/>
  <c r="I309" i="2"/>
  <c r="I301" i="2"/>
  <c r="I293" i="2"/>
  <c r="I285" i="2"/>
  <c r="I277" i="2"/>
  <c r="I269" i="2"/>
  <c r="I261" i="2"/>
  <c r="I253" i="2"/>
  <c r="I245" i="2"/>
  <c r="I237" i="2"/>
  <c r="I229" i="2"/>
  <c r="I221" i="2"/>
  <c r="I165" i="2"/>
  <c r="I141" i="2"/>
  <c r="I133" i="2"/>
  <c r="I109" i="2"/>
  <c r="I77" i="2"/>
  <c r="I37" i="2"/>
  <c r="I1003" i="2"/>
  <c r="I995" i="2"/>
  <c r="I987" i="2"/>
  <c r="I979" i="2"/>
  <c r="I971" i="2"/>
  <c r="I963" i="2"/>
  <c r="I955" i="2"/>
  <c r="I947" i="2"/>
  <c r="I939" i="2"/>
  <c r="I931" i="2"/>
  <c r="I923" i="2"/>
  <c r="I915" i="2"/>
  <c r="I907" i="2"/>
  <c r="I899" i="2"/>
  <c r="I891" i="2"/>
  <c r="I883" i="2"/>
  <c r="I875" i="2"/>
  <c r="I867" i="2"/>
  <c r="I859" i="2"/>
  <c r="I851" i="2"/>
  <c r="I843" i="2"/>
  <c r="I835" i="2"/>
  <c r="I827" i="2"/>
  <c r="I819" i="2"/>
  <c r="I811" i="2"/>
  <c r="I803" i="2"/>
  <c r="I795" i="2"/>
  <c r="I787" i="2"/>
  <c r="I779" i="2"/>
  <c r="I771" i="2"/>
  <c r="I763" i="2"/>
  <c r="I755" i="2"/>
  <c r="I747" i="2"/>
  <c r="I739" i="2"/>
  <c r="I731" i="2"/>
  <c r="I723" i="2"/>
  <c r="I715" i="2"/>
  <c r="I707" i="2"/>
  <c r="I699" i="2"/>
  <c r="I691" i="2"/>
  <c r="I683" i="2"/>
  <c r="I675" i="2"/>
  <c r="I667" i="2"/>
  <c r="I659" i="2"/>
  <c r="I651" i="2"/>
  <c r="I643" i="2"/>
  <c r="I635" i="2"/>
  <c r="I627" i="2"/>
  <c r="I619" i="2"/>
  <c r="I611" i="2"/>
  <c r="I603" i="2"/>
  <c r="I595" i="2"/>
  <c r="I587" i="2"/>
  <c r="I579" i="2"/>
  <c r="I571" i="2"/>
  <c r="I563" i="2"/>
  <c r="I555" i="2"/>
  <c r="I547" i="2"/>
  <c r="I539" i="2"/>
  <c r="I531" i="2"/>
  <c r="I523" i="2"/>
  <c r="I515" i="2"/>
  <c r="I507" i="2"/>
  <c r="I499" i="2"/>
  <c r="I491" i="2"/>
  <c r="I483" i="2"/>
  <c r="I475" i="2"/>
  <c r="I467" i="2"/>
  <c r="I459" i="2"/>
  <c r="I451" i="2"/>
  <c r="I443" i="2"/>
  <c r="I435" i="2"/>
  <c r="I427" i="2"/>
  <c r="I419" i="2"/>
  <c r="I411" i="2"/>
  <c r="I403" i="2"/>
  <c r="I395" i="2"/>
  <c r="I387" i="2"/>
  <c r="I379" i="2"/>
  <c r="I371" i="2"/>
  <c r="I363" i="2"/>
  <c r="I355" i="2"/>
  <c r="I347" i="2"/>
  <c r="I339" i="2"/>
  <c r="I331" i="2"/>
  <c r="I323" i="2"/>
  <c r="I315" i="2"/>
  <c r="I307" i="2"/>
  <c r="I299" i="2"/>
  <c r="I291" i="2"/>
  <c r="I283" i="2"/>
  <c r="I275" i="2"/>
  <c r="I267" i="2"/>
  <c r="I259" i="2"/>
  <c r="I251" i="2"/>
  <c r="I243" i="2"/>
  <c r="I235" i="2"/>
  <c r="I227" i="2"/>
  <c r="I219" i="2"/>
  <c r="I211" i="2"/>
  <c r="I203" i="2"/>
  <c r="I195" i="2"/>
  <c r="I187" i="2"/>
  <c r="I179" i="2"/>
  <c r="I171" i="2"/>
  <c r="I163" i="2"/>
  <c r="I155" i="2"/>
  <c r="I147" i="2"/>
  <c r="I139" i="2"/>
  <c r="I131" i="2"/>
  <c r="I123" i="2"/>
  <c r="I115" i="2"/>
  <c r="I107" i="2"/>
  <c r="I99" i="2"/>
  <c r="I91" i="2"/>
  <c r="I83" i="2"/>
  <c r="I75" i="2"/>
  <c r="I67" i="2"/>
  <c r="I59" i="2"/>
  <c r="I51" i="2"/>
  <c r="I43" i="2"/>
  <c r="I35" i="2"/>
  <c r="I27" i="2"/>
  <c r="I19" i="2"/>
  <c r="I11" i="2"/>
  <c r="I858" i="2"/>
  <c r="I850" i="2"/>
  <c r="I842" i="2"/>
  <c r="I834" i="2"/>
  <c r="I826" i="2"/>
  <c r="I818" i="2"/>
  <c r="I810" i="2"/>
  <c r="I802" i="2"/>
  <c r="I794" i="2"/>
  <c r="I786" i="2"/>
  <c r="I778" i="2"/>
  <c r="I770" i="2"/>
  <c r="I762" i="2"/>
  <c r="I754" i="2"/>
  <c r="I746" i="2"/>
  <c r="I738" i="2"/>
  <c r="I730" i="2"/>
  <c r="I722" i="2"/>
  <c r="I714" i="2"/>
  <c r="I706" i="2"/>
  <c r="I698" i="2"/>
  <c r="I690" i="2"/>
  <c r="I682" i="2"/>
  <c r="I674" i="2"/>
  <c r="I666" i="2"/>
  <c r="I658" i="2"/>
  <c r="I650" i="2"/>
  <c r="I642" i="2"/>
  <c r="I634" i="2"/>
  <c r="I626" i="2"/>
  <c r="I618" i="2"/>
  <c r="I610" i="2"/>
  <c r="I602" i="2"/>
  <c r="I594" i="2"/>
  <c r="I586" i="2"/>
  <c r="I578" i="2"/>
  <c r="I570" i="2"/>
  <c r="I562" i="2"/>
  <c r="I554" i="2"/>
  <c r="I546" i="2"/>
  <c r="I538" i="2"/>
  <c r="I530" i="2"/>
  <c r="I522" i="2"/>
  <c r="I514" i="2"/>
  <c r="I506" i="2"/>
  <c r="I498" i="2"/>
  <c r="I490" i="2"/>
  <c r="I482" i="2"/>
  <c r="I474" i="2"/>
  <c r="I466" i="2"/>
  <c r="I458" i="2"/>
  <c r="I450" i="2"/>
  <c r="I442" i="2"/>
  <c r="I434" i="2"/>
  <c r="I426" i="2"/>
  <c r="I418" i="2"/>
  <c r="I410" i="2"/>
  <c r="I402" i="2"/>
  <c r="I394" i="2"/>
  <c r="I386" i="2"/>
  <c r="I378" i="2"/>
  <c r="I370" i="2"/>
  <c r="I362" i="2"/>
  <c r="I354" i="2"/>
  <c r="I346" i="2"/>
  <c r="I338" i="2"/>
  <c r="I330" i="2"/>
  <c r="I322" i="2"/>
  <c r="I314" i="2"/>
  <c r="I306" i="2"/>
  <c r="I298" i="2"/>
  <c r="I290" i="2"/>
  <c r="I282" i="2"/>
  <c r="I274" i="2"/>
  <c r="I266" i="2"/>
  <c r="I258" i="2"/>
  <c r="I250" i="2"/>
  <c r="I242" i="2"/>
  <c r="I234" i="2"/>
  <c r="I226" i="2"/>
  <c r="I218" i="2"/>
  <c r="I210" i="2"/>
  <c r="I202" i="2"/>
  <c r="I194" i="2"/>
  <c r="I186" i="2"/>
  <c r="I178" i="2"/>
  <c r="I170" i="2"/>
  <c r="I162" i="2"/>
  <c r="I154" i="2"/>
  <c r="I146" i="2"/>
  <c r="I138" i="2"/>
  <c r="I130" i="2"/>
  <c r="I122" i="2"/>
  <c r="I114" i="2"/>
  <c r="I106" i="2"/>
  <c r="I98" i="2"/>
  <c r="I90" i="2"/>
  <c r="I82" i="2"/>
  <c r="I74" i="2"/>
  <c r="I66" i="2"/>
  <c r="I58" i="2"/>
  <c r="I50" i="2"/>
  <c r="I42" i="2"/>
  <c r="I34" i="2"/>
  <c r="I26" i="2"/>
  <c r="I18" i="2"/>
  <c r="I326" i="2"/>
  <c r="I310" i="2"/>
  <c r="I294" i="2"/>
  <c r="I286" i="2"/>
  <c r="I270" i="2"/>
  <c r="I262" i="2"/>
  <c r="I254" i="2"/>
  <c r="I246" i="2"/>
  <c r="I238" i="2"/>
  <c r="I230" i="2"/>
  <c r="I222" i="2"/>
  <c r="I214" i="2"/>
  <c r="I206" i="2"/>
  <c r="I182" i="2"/>
  <c r="I150" i="2"/>
  <c r="I134" i="2"/>
  <c r="I118" i="2"/>
  <c r="I102" i="2"/>
  <c r="I94" i="2"/>
  <c r="I86" i="2"/>
  <c r="I78" i="2"/>
  <c r="I54" i="2"/>
  <c r="I30" i="2"/>
  <c r="I22" i="2"/>
  <c r="I6" i="2"/>
  <c r="I213" i="2"/>
  <c r="I205" i="2"/>
  <c r="I197" i="2"/>
  <c r="I189" i="2"/>
  <c r="I181" i="2"/>
  <c r="I173" i="2"/>
  <c r="I157" i="2"/>
  <c r="I149" i="2"/>
  <c r="I125" i="2"/>
  <c r="I117" i="2"/>
  <c r="I101" i="2"/>
  <c r="I93" i="2"/>
  <c r="I85" i="2"/>
  <c r="I69" i="2"/>
  <c r="I61" i="2"/>
  <c r="I53" i="2"/>
  <c r="I45" i="2"/>
  <c r="I29" i="2"/>
  <c r="I21" i="2"/>
  <c r="I13" i="2"/>
  <c r="I5" i="2"/>
  <c r="I3" i="2"/>
  <c r="I10" i="2"/>
  <c r="L688" i="2"/>
  <c r="L680" i="2"/>
  <c r="L672" i="2"/>
  <c r="L664" i="2"/>
  <c r="L656" i="2"/>
  <c r="L648" i="2"/>
  <c r="L640" i="2"/>
  <c r="L632" i="2"/>
  <c r="L624" i="2"/>
  <c r="L616" i="2"/>
  <c r="L608" i="2"/>
  <c r="L600" i="2"/>
  <c r="L592" i="2"/>
  <c r="L584" i="2"/>
  <c r="L576" i="2"/>
  <c r="L568" i="2"/>
  <c r="L560" i="2"/>
  <c r="L552" i="2"/>
  <c r="L544" i="2"/>
  <c r="L536" i="2"/>
  <c r="L528" i="2"/>
  <c r="L520" i="2"/>
  <c r="L512" i="2"/>
  <c r="L504" i="2"/>
  <c r="L496" i="2"/>
  <c r="L488" i="2"/>
  <c r="L480" i="2"/>
  <c r="L472" i="2"/>
  <c r="L464" i="2"/>
  <c r="L456" i="2"/>
  <c r="L448" i="2"/>
  <c r="L440" i="2"/>
  <c r="L432" i="2"/>
  <c r="L424" i="2"/>
  <c r="L416" i="2"/>
  <c r="L408" i="2"/>
  <c r="L400" i="2"/>
  <c r="L392" i="2"/>
  <c r="L384" i="2"/>
  <c r="L376" i="2"/>
  <c r="L368" i="2"/>
  <c r="L360" i="2"/>
  <c r="L352" i="2"/>
  <c r="L344" i="2"/>
  <c r="L336" i="2"/>
  <c r="L328" i="2"/>
  <c r="L320" i="2"/>
  <c r="L312" i="2"/>
  <c r="L304" i="2"/>
  <c r="L296" i="2"/>
  <c r="L288" i="2"/>
  <c r="L280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L2" i="2"/>
  <c r="L1039" i="2"/>
  <c r="L1031" i="2"/>
  <c r="L1015" i="2"/>
  <c r="L999" i="2"/>
  <c r="L991" i="2"/>
  <c r="L959" i="2"/>
  <c r="L943" i="2"/>
  <c r="L1054" i="2"/>
  <c r="L1038" i="2"/>
  <c r="L1030" i="2"/>
  <c r="L1014" i="2"/>
  <c r="L998" i="2"/>
  <c r="L990" i="2"/>
  <c r="L982" i="2"/>
  <c r="L966" i="2"/>
  <c r="L958" i="2"/>
  <c r="L950" i="2"/>
  <c r="L910" i="2"/>
  <c r="L902" i="2"/>
  <c r="L886" i="2"/>
  <c r="L878" i="2"/>
  <c r="L870" i="2"/>
  <c r="L830" i="2"/>
  <c r="L806" i="2"/>
  <c r="L782" i="2"/>
  <c r="L774" i="2"/>
  <c r="L766" i="2"/>
  <c r="L758" i="2"/>
  <c r="L750" i="2"/>
  <c r="L742" i="2"/>
  <c r="L710" i="2"/>
  <c r="L694" i="2"/>
  <c r="L670" i="2"/>
  <c r="L638" i="2"/>
  <c r="L630" i="2"/>
  <c r="L622" i="2"/>
  <c r="L606" i="2"/>
  <c r="L566" i="2"/>
  <c r="L550" i="2"/>
  <c r="L542" i="2"/>
  <c r="L526" i="2"/>
  <c r="L518" i="2"/>
  <c r="L510" i="2"/>
  <c r="L478" i="2"/>
  <c r="L454" i="2"/>
  <c r="L446" i="2"/>
  <c r="L438" i="2"/>
  <c r="L430" i="2"/>
  <c r="L422" i="2"/>
  <c r="L390" i="2"/>
  <c r="L382" i="2"/>
  <c r="L374" i="2"/>
  <c r="L350" i="2"/>
  <c r="L334" i="2"/>
  <c r="L294" i="2"/>
  <c r="L286" i="2"/>
  <c r="L262" i="2"/>
  <c r="L230" i="2"/>
  <c r="L198" i="2"/>
  <c r="L190" i="2"/>
  <c r="L174" i="2"/>
  <c r="L158" i="2"/>
  <c r="L118" i="2"/>
  <c r="L110" i="2"/>
  <c r="L94" i="2"/>
  <c r="L70" i="2"/>
  <c r="L38" i="2"/>
  <c r="L983" i="2"/>
  <c r="L951" i="2"/>
  <c r="L671" i="2"/>
  <c r="L639" i="2"/>
  <c r="L607" i="2"/>
  <c r="L599" i="2"/>
  <c r="L583" i="2"/>
  <c r="L567" i="2"/>
  <c r="L527" i="2"/>
  <c r="L503" i="2"/>
  <c r="L479" i="2"/>
  <c r="L447" i="2"/>
  <c r="L439" i="2"/>
  <c r="L407" i="2"/>
  <c r="L391" i="2"/>
  <c r="L359" i="2"/>
  <c r="L351" i="2"/>
  <c r="L327" i="2"/>
  <c r="L319" i="2"/>
  <c r="L287" i="2"/>
  <c r="L263" i="2"/>
  <c r="L255" i="2"/>
  <c r="L231" i="2"/>
  <c r="L215" i="2"/>
  <c r="L191" i="2"/>
  <c r="L167" i="2"/>
  <c r="L143" i="2"/>
  <c r="L103" i="2"/>
  <c r="L95" i="2"/>
  <c r="L79" i="2"/>
  <c r="L71" i="2"/>
  <c r="L39" i="2"/>
  <c r="L31" i="2"/>
  <c r="L15" i="2"/>
  <c r="L1052" i="2"/>
  <c r="L1044" i="2"/>
  <c r="L1036" i="2"/>
  <c r="L1028" i="2"/>
  <c r="L1020" i="2"/>
  <c r="L1012" i="2"/>
  <c r="L1004" i="2"/>
  <c r="L996" i="2"/>
  <c r="L988" i="2"/>
  <c r="L980" i="2"/>
  <c r="L972" i="2"/>
  <c r="L964" i="2"/>
  <c r="L956" i="2"/>
  <c r="L948" i="2"/>
  <c r="L940" i="2"/>
  <c r="L932" i="2"/>
  <c r="L924" i="2"/>
  <c r="L916" i="2"/>
  <c r="L908" i="2"/>
  <c r="L900" i="2"/>
  <c r="L892" i="2"/>
  <c r="L884" i="2"/>
  <c r="L876" i="2"/>
  <c r="L868" i="2"/>
  <c r="L860" i="2"/>
  <c r="L852" i="2"/>
  <c r="L844" i="2"/>
  <c r="L836" i="2"/>
  <c r="L828" i="2"/>
  <c r="L820" i="2"/>
  <c r="L812" i="2"/>
  <c r="L804" i="2"/>
  <c r="L796" i="2"/>
  <c r="L788" i="2"/>
  <c r="L780" i="2"/>
  <c r="L772" i="2"/>
  <c r="L764" i="2"/>
  <c r="L756" i="2"/>
  <c r="L748" i="2"/>
  <c r="L740" i="2"/>
  <c r="L732" i="2"/>
  <c r="L724" i="2"/>
  <c r="L716" i="2"/>
  <c r="L708" i="2"/>
  <c r="L700" i="2"/>
  <c r="L692" i="2"/>
  <c r="L684" i="2"/>
  <c r="L1053" i="2"/>
  <c r="L1045" i="2"/>
  <c r="L1037" i="2"/>
  <c r="L1029" i="2"/>
  <c r="L1021" i="2"/>
  <c r="L1013" i="2"/>
  <c r="L1005" i="2"/>
  <c r="L997" i="2"/>
  <c r="L989" i="2"/>
  <c r="L981" i="2"/>
  <c r="L973" i="2"/>
  <c r="L965" i="2"/>
  <c r="L957" i="2"/>
  <c r="L949" i="2"/>
  <c r="L941" i="2"/>
  <c r="L933" i="2"/>
  <c r="L925" i="2"/>
  <c r="L917" i="2"/>
  <c r="L909" i="2"/>
  <c r="L901" i="2"/>
  <c r="L893" i="2"/>
  <c r="L885" i="2"/>
  <c r="L877" i="2"/>
  <c r="L869" i="2"/>
  <c r="L861" i="2"/>
  <c r="L853" i="2"/>
  <c r="L845" i="2"/>
  <c r="L837" i="2"/>
  <c r="L829" i="2"/>
  <c r="L821" i="2"/>
  <c r="L813" i="2"/>
  <c r="L805" i="2"/>
  <c r="L797" i="2"/>
  <c r="L789" i="2"/>
  <c r="L781" i="2"/>
  <c r="L773" i="2"/>
  <c r="L765" i="2"/>
  <c r="L757" i="2"/>
  <c r="L749" i="2"/>
  <c r="L741" i="2"/>
  <c r="L733" i="2"/>
  <c r="L725" i="2"/>
  <c r="L717" i="2"/>
  <c r="L709" i="2"/>
  <c r="L701" i="2"/>
  <c r="L693" i="2"/>
  <c r="L676" i="2"/>
  <c r="L668" i="2"/>
  <c r="L660" i="2"/>
  <c r="L652" i="2"/>
  <c r="L644" i="2"/>
  <c r="L636" i="2"/>
  <c r="L628" i="2"/>
  <c r="L620" i="2"/>
  <c r="L612" i="2"/>
  <c r="L604" i="2"/>
  <c r="L596" i="2"/>
  <c r="L588" i="2"/>
  <c r="L580" i="2"/>
  <c r="L572" i="2"/>
  <c r="L564" i="2"/>
  <c r="L556" i="2"/>
  <c r="L548" i="2"/>
  <c r="L540" i="2"/>
  <c r="L532" i="2"/>
  <c r="L524" i="2"/>
  <c r="L516" i="2"/>
  <c r="L508" i="2"/>
  <c r="L500" i="2"/>
  <c r="L492" i="2"/>
  <c r="L484" i="2"/>
  <c r="L476" i="2"/>
  <c r="L468" i="2"/>
  <c r="L460" i="2"/>
  <c r="L452" i="2"/>
  <c r="L444" i="2"/>
  <c r="L436" i="2"/>
  <c r="L428" i="2"/>
  <c r="L420" i="2"/>
  <c r="L412" i="2"/>
  <c r="L404" i="2"/>
  <c r="L396" i="2"/>
  <c r="L388" i="2"/>
  <c r="L380" i="2"/>
  <c r="L372" i="2"/>
  <c r="L364" i="2"/>
  <c r="L356" i="2"/>
  <c r="L348" i="2"/>
  <c r="L340" i="2"/>
  <c r="L332" i="2"/>
  <c r="L324" i="2"/>
  <c r="L316" i="2"/>
  <c r="L308" i="2"/>
  <c r="L300" i="2"/>
  <c r="L292" i="2"/>
  <c r="L284" i="2"/>
  <c r="L276" i="2"/>
  <c r="L268" i="2"/>
  <c r="L260" i="2"/>
  <c r="L252" i="2"/>
  <c r="L244" i="2"/>
  <c r="L236" i="2"/>
  <c r="L228" i="2"/>
  <c r="L220" i="2"/>
  <c r="L212" i="2"/>
  <c r="L204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4" i="2"/>
  <c r="L685" i="2"/>
  <c r="L677" i="2"/>
  <c r="L669" i="2"/>
  <c r="L661" i="2"/>
  <c r="L653" i="2"/>
  <c r="L645" i="2"/>
  <c r="L637" i="2"/>
  <c r="L629" i="2"/>
  <c r="L621" i="2"/>
  <c r="L613" i="2"/>
  <c r="L605" i="2"/>
  <c r="L597" i="2"/>
  <c r="L589" i="2"/>
  <c r="L581" i="2"/>
  <c r="L573" i="2"/>
  <c r="L565" i="2"/>
  <c r="L557" i="2"/>
  <c r="L549" i="2"/>
  <c r="L541" i="2"/>
  <c r="L533" i="2"/>
  <c r="L525" i="2"/>
  <c r="L517" i="2"/>
  <c r="L509" i="2"/>
  <c r="L501" i="2"/>
  <c r="L493" i="2"/>
  <c r="L485" i="2"/>
  <c r="L477" i="2"/>
  <c r="L469" i="2"/>
  <c r="L461" i="2"/>
  <c r="L453" i="2"/>
  <c r="L445" i="2"/>
  <c r="L437" i="2"/>
  <c r="L429" i="2"/>
  <c r="L421" i="2"/>
  <c r="L413" i="2"/>
  <c r="L405" i="2"/>
  <c r="L397" i="2"/>
  <c r="L389" i="2"/>
  <c r="L381" i="2"/>
  <c r="L373" i="2"/>
  <c r="L365" i="2"/>
  <c r="L357" i="2"/>
  <c r="L349" i="2"/>
  <c r="L341" i="2"/>
  <c r="L333" i="2"/>
  <c r="L325" i="2"/>
  <c r="L317" i="2"/>
  <c r="L309" i="2"/>
  <c r="L301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5" i="2"/>
  <c r="L8" i="2"/>
  <c r="L13" i="2"/>
  <c r="L1049" i="2"/>
  <c r="L1041" i="2"/>
  <c r="L1033" i="2"/>
  <c r="L1025" i="2"/>
  <c r="L1017" i="2"/>
  <c r="L1009" i="2"/>
  <c r="L1001" i="2"/>
  <c r="L993" i="2"/>
  <c r="L985" i="2"/>
  <c r="L977" i="2"/>
  <c r="L969" i="2"/>
  <c r="L961" i="2"/>
  <c r="L953" i="2"/>
  <c r="L945" i="2"/>
  <c r="L937" i="2"/>
  <c r="L929" i="2"/>
  <c r="L921" i="2"/>
  <c r="L913" i="2"/>
  <c r="L905" i="2"/>
  <c r="L897" i="2"/>
  <c r="L889" i="2"/>
  <c r="L881" i="2"/>
  <c r="L873" i="2"/>
  <c r="L865" i="2"/>
  <c r="L857" i="2"/>
  <c r="L849" i="2"/>
  <c r="L841" i="2"/>
  <c r="L833" i="2"/>
  <c r="L825" i="2"/>
  <c r="L817" i="2"/>
  <c r="L809" i="2"/>
  <c r="L801" i="2"/>
  <c r="L793" i="2"/>
  <c r="L785" i="2"/>
  <c r="L777" i="2"/>
  <c r="L769" i="2"/>
  <c r="L761" i="2"/>
  <c r="L753" i="2"/>
  <c r="L745" i="2"/>
  <c r="L737" i="2"/>
  <c r="L729" i="2"/>
  <c r="L721" i="2"/>
  <c r="L713" i="2"/>
  <c r="L705" i="2"/>
  <c r="L697" i="2"/>
  <c r="L689" i="2"/>
  <c r="L681" i="2"/>
  <c r="L673" i="2"/>
  <c r="L665" i="2"/>
  <c r="L657" i="2"/>
  <c r="L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L385" i="2"/>
  <c r="L377" i="2"/>
  <c r="L369" i="2"/>
  <c r="L361" i="2"/>
  <c r="L353" i="2"/>
  <c r="L345" i="2"/>
  <c r="L337" i="2"/>
  <c r="L329" i="2"/>
  <c r="L321" i="2"/>
  <c r="L313" i="2"/>
  <c r="L305" i="2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  <c r="L1003" i="2"/>
  <c r="L859" i="2"/>
  <c r="L643" i="2"/>
  <c r="L555" i="2"/>
  <c r="L427" i="2"/>
  <c r="L403" i="2"/>
  <c r="L339" i="2"/>
  <c r="L147" i="2"/>
  <c r="L115" i="2"/>
  <c r="L59" i="2"/>
  <c r="L51" i="2"/>
  <c r="L43" i="2"/>
  <c r="L35" i="2"/>
  <c r="L27" i="2"/>
  <c r="L19" i="2"/>
  <c r="L11" i="2"/>
  <c r="L3" i="2"/>
  <c r="L987" i="2"/>
  <c r="L955" i="2"/>
  <c r="L875" i="2"/>
  <c r="L739" i="2"/>
  <c r="L675" i="2"/>
  <c r="L307" i="2"/>
  <c r="L1034" i="2"/>
  <c r="L1002" i="2"/>
  <c r="L970" i="2"/>
  <c r="L914" i="2"/>
  <c r="L874" i="2"/>
  <c r="L834" i="2"/>
  <c r="L778" i="2"/>
  <c r="L738" i="2"/>
  <c r="L1047" i="2"/>
  <c r="L1023" i="2"/>
  <c r="L1007" i="2"/>
  <c r="L975" i="2"/>
  <c r="L967" i="2"/>
  <c r="L679" i="2"/>
  <c r="L655" i="2"/>
  <c r="L615" i="2"/>
  <c r="L591" i="2"/>
  <c r="L551" i="2"/>
  <c r="L535" i="2"/>
  <c r="L519" i="2"/>
  <c r="L511" i="2"/>
  <c r="L463" i="2"/>
  <c r="L423" i="2"/>
  <c r="L415" i="2"/>
  <c r="L375" i="2"/>
  <c r="L343" i="2"/>
  <c r="L335" i="2"/>
  <c r="L279" i="2"/>
  <c r="L271" i="2"/>
  <c r="L247" i="2"/>
  <c r="L199" i="2"/>
  <c r="L183" i="2"/>
  <c r="L159" i="2"/>
  <c r="L127" i="2"/>
  <c r="L87" i="2"/>
  <c r="L55" i="2"/>
  <c r="L1046" i="2"/>
  <c r="L1022" i="2"/>
  <c r="L1006" i="2"/>
  <c r="L974" i="2"/>
  <c r="L942" i="2"/>
  <c r="L934" i="2"/>
  <c r="L894" i="2"/>
  <c r="L846" i="2"/>
  <c r="L838" i="2"/>
  <c r="L822" i="2"/>
  <c r="L814" i="2"/>
  <c r="L718" i="2"/>
  <c r="L702" i="2"/>
  <c r="L686" i="2"/>
  <c r="L654" i="2"/>
  <c r="L614" i="2"/>
  <c r="L582" i="2"/>
  <c r="L494" i="2"/>
  <c r="L462" i="2"/>
  <c r="L366" i="2"/>
  <c r="L358" i="2"/>
  <c r="L318" i="2"/>
  <c r="L302" i="2"/>
  <c r="L270" i="2"/>
  <c r="L246" i="2"/>
  <c r="L206" i="2"/>
  <c r="L182" i="2"/>
  <c r="L142" i="2"/>
  <c r="L126" i="2"/>
  <c r="L102" i="2"/>
  <c r="L54" i="2"/>
  <c r="L1051" i="2"/>
  <c r="L1043" i="2"/>
  <c r="L1019" i="2"/>
  <c r="L1011" i="2"/>
  <c r="L979" i="2"/>
  <c r="L971" i="2"/>
  <c r="L947" i="2"/>
  <c r="L939" i="2"/>
  <c r="L923" i="2"/>
  <c r="L907" i="2"/>
  <c r="L851" i="2"/>
  <c r="L811" i="2"/>
  <c r="L803" i="2"/>
  <c r="L787" i="2"/>
  <c r="L779" i="2"/>
  <c r="L755" i="2"/>
  <c r="L731" i="2"/>
  <c r="L715" i="2"/>
  <c r="L691" i="2"/>
  <c r="L683" i="2"/>
  <c r="L659" i="2"/>
  <c r="L603" i="2"/>
  <c r="L595" i="2"/>
  <c r="L579" i="2"/>
  <c r="L539" i="2"/>
  <c r="L515" i="2"/>
  <c r="L507" i="2"/>
  <c r="L499" i="2"/>
  <c r="L483" i="2"/>
  <c r="L467" i="2"/>
  <c r="L419" i="2"/>
  <c r="L379" i="2"/>
  <c r="L363" i="2"/>
  <c r="L347" i="2"/>
  <c r="L323" i="2"/>
  <c r="L291" i="2"/>
  <c r="L251" i="2"/>
  <c r="L227" i="2"/>
  <c r="L187" i="2"/>
  <c r="L171" i="2"/>
  <c r="L163" i="2"/>
  <c r="L155" i="2"/>
  <c r="L131" i="2"/>
  <c r="L91" i="2"/>
  <c r="L1050" i="2"/>
  <c r="L1042" i="2"/>
  <c r="L1010" i="2"/>
  <c r="L978" i="2"/>
  <c r="L946" i="2"/>
  <c r="L938" i="2"/>
  <c r="L922" i="2"/>
  <c r="L898" i="2"/>
  <c r="L866" i="2"/>
  <c r="L850" i="2"/>
  <c r="L802" i="2"/>
  <c r="L786" i="2"/>
  <c r="L730" i="2"/>
  <c r="L714" i="2"/>
  <c r="L706" i="2"/>
  <c r="L1035" i="2"/>
  <c r="L1027" i="2"/>
  <c r="L995" i="2"/>
  <c r="L963" i="2"/>
  <c r="L931" i="2"/>
  <c r="L915" i="2"/>
  <c r="L899" i="2"/>
  <c r="L891" i="2"/>
  <c r="L883" i="2"/>
  <c r="L867" i="2"/>
  <c r="L843" i="2"/>
  <c r="L835" i="2"/>
  <c r="L827" i="2"/>
  <c r="L819" i="2"/>
  <c r="L795" i="2"/>
  <c r="L771" i="2"/>
  <c r="L763" i="2"/>
  <c r="L747" i="2"/>
  <c r="L723" i="2"/>
  <c r="L707" i="2"/>
  <c r="L699" i="2"/>
  <c r="L667" i="2"/>
  <c r="L651" i="2"/>
  <c r="L635" i="2"/>
  <c r="L627" i="2"/>
  <c r="L619" i="2"/>
  <c r="L611" i="2"/>
  <c r="L587" i="2"/>
  <c r="L571" i="2"/>
  <c r="L563" i="2"/>
  <c r="L547" i="2"/>
  <c r="L531" i="2"/>
  <c r="L523" i="2"/>
  <c r="L491" i="2"/>
  <c r="L475" i="2"/>
  <c r="L459" i="2"/>
  <c r="L451" i="2"/>
  <c r="L443" i="2"/>
  <c r="L435" i="2"/>
  <c r="L411" i="2"/>
  <c r="L395" i="2"/>
  <c r="L387" i="2"/>
  <c r="L371" i="2"/>
  <c r="L355" i="2"/>
  <c r="L331" i="2"/>
  <c r="L315" i="2"/>
  <c r="L299" i="2"/>
  <c r="L283" i="2"/>
  <c r="L275" i="2"/>
  <c r="L267" i="2"/>
  <c r="L259" i="2"/>
  <c r="L243" i="2"/>
  <c r="L235" i="2"/>
  <c r="L219" i="2"/>
  <c r="L211" i="2"/>
  <c r="L203" i="2"/>
  <c r="L195" i="2"/>
  <c r="L179" i="2"/>
  <c r="L139" i="2"/>
  <c r="L123" i="2"/>
  <c r="L107" i="2"/>
  <c r="L99" i="2"/>
  <c r="L83" i="2"/>
  <c r="L75" i="2"/>
  <c r="L67" i="2"/>
  <c r="L1026" i="2"/>
  <c r="L1018" i="2"/>
  <c r="L994" i="2"/>
  <c r="L986" i="2"/>
  <c r="L962" i="2"/>
  <c r="L954" i="2"/>
  <c r="L930" i="2"/>
  <c r="L906" i="2"/>
  <c r="L890" i="2"/>
  <c r="L882" i="2"/>
  <c r="L858" i="2"/>
  <c r="L842" i="2"/>
  <c r="L826" i="2"/>
  <c r="L818" i="2"/>
  <c r="L810" i="2"/>
  <c r="L794" i="2"/>
  <c r="L770" i="2"/>
  <c r="L762" i="2"/>
  <c r="L754" i="2"/>
  <c r="L746" i="2"/>
  <c r="L722" i="2"/>
  <c r="L698" i="2"/>
  <c r="L690" i="2"/>
  <c r="L682" i="2"/>
  <c r="L674" i="2"/>
  <c r="L666" i="2"/>
  <c r="L658" i="2"/>
  <c r="L650" i="2"/>
  <c r="L642" i="2"/>
  <c r="L634" i="2"/>
  <c r="L626" i="2"/>
  <c r="L618" i="2"/>
  <c r="L610" i="2"/>
  <c r="L602" i="2"/>
  <c r="L594" i="2"/>
  <c r="L586" i="2"/>
  <c r="L578" i="2"/>
  <c r="L570" i="2"/>
  <c r="L562" i="2"/>
  <c r="L554" i="2"/>
  <c r="L546" i="2"/>
  <c r="L538" i="2"/>
  <c r="L530" i="2"/>
  <c r="L522" i="2"/>
  <c r="L514" i="2"/>
  <c r="L506" i="2"/>
  <c r="L498" i="2"/>
  <c r="L490" i="2"/>
  <c r="L482" i="2"/>
  <c r="L474" i="2"/>
  <c r="L466" i="2"/>
  <c r="L458" i="2"/>
  <c r="L450" i="2"/>
  <c r="L442" i="2"/>
  <c r="L434" i="2"/>
  <c r="L426" i="2"/>
  <c r="L418" i="2"/>
  <c r="L410" i="2"/>
  <c r="L402" i="2"/>
  <c r="L394" i="2"/>
  <c r="L386" i="2"/>
  <c r="L378" i="2"/>
  <c r="L370" i="2"/>
  <c r="L362" i="2"/>
  <c r="L354" i="2"/>
  <c r="L346" i="2"/>
  <c r="L338" i="2"/>
  <c r="L330" i="2"/>
  <c r="L322" i="2"/>
  <c r="L314" i="2"/>
  <c r="L306" i="2"/>
  <c r="L298" i="2"/>
  <c r="L290" i="2"/>
  <c r="L282" i="2"/>
  <c r="L274" i="2"/>
  <c r="L266" i="2"/>
  <c r="L258" i="2"/>
  <c r="L250" i="2"/>
  <c r="L242" i="2"/>
  <c r="L234" i="2"/>
  <c r="L226" i="2"/>
  <c r="L218" i="2"/>
  <c r="L210" i="2"/>
  <c r="L202" i="2"/>
  <c r="L194" i="2"/>
  <c r="L186" i="2"/>
  <c r="L178" i="2"/>
  <c r="L170" i="2"/>
  <c r="L162" i="2"/>
  <c r="L154" i="2"/>
  <c r="L146" i="2"/>
  <c r="L138" i="2"/>
  <c r="L130" i="2"/>
  <c r="L122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L935" i="2"/>
  <c r="L927" i="2"/>
  <c r="L919" i="2"/>
  <c r="L911" i="2"/>
  <c r="L903" i="2"/>
  <c r="L895" i="2"/>
  <c r="L887" i="2"/>
  <c r="L879" i="2"/>
  <c r="L871" i="2"/>
  <c r="L863" i="2"/>
  <c r="L855" i="2"/>
  <c r="L847" i="2"/>
  <c r="L839" i="2"/>
  <c r="L831" i="2"/>
  <c r="L823" i="2"/>
  <c r="L815" i="2"/>
  <c r="L807" i="2"/>
  <c r="L799" i="2"/>
  <c r="L791" i="2"/>
  <c r="L783" i="2"/>
  <c r="L775" i="2"/>
  <c r="L767" i="2"/>
  <c r="L759" i="2"/>
  <c r="L751" i="2"/>
  <c r="L743" i="2"/>
  <c r="L735" i="2"/>
  <c r="L727" i="2"/>
  <c r="L719" i="2"/>
  <c r="L711" i="2"/>
  <c r="L703" i="2"/>
  <c r="L695" i="2"/>
  <c r="L687" i="2"/>
  <c r="L663" i="2"/>
  <c r="L647" i="2"/>
  <c r="L631" i="2"/>
  <c r="L623" i="2"/>
  <c r="L575" i="2"/>
  <c r="L559" i="2"/>
  <c r="L543" i="2"/>
  <c r="L495" i="2"/>
  <c r="L487" i="2"/>
  <c r="L471" i="2"/>
  <c r="L455" i="2"/>
  <c r="L431" i="2"/>
  <c r="L399" i="2"/>
  <c r="L383" i="2"/>
  <c r="L367" i="2"/>
  <c r="L311" i="2"/>
  <c r="L303" i="2"/>
  <c r="L295" i="2"/>
  <c r="L239" i="2"/>
  <c r="L223" i="2"/>
  <c r="L207" i="2"/>
  <c r="L175" i="2"/>
  <c r="L151" i="2"/>
  <c r="L135" i="2"/>
  <c r="L119" i="2"/>
  <c r="L111" i="2"/>
  <c r="L63" i="2"/>
  <c r="L47" i="2"/>
  <c r="L23" i="2"/>
  <c r="L7" i="2"/>
  <c r="L926" i="2"/>
  <c r="L918" i="2"/>
  <c r="L862" i="2"/>
  <c r="L854" i="2"/>
  <c r="L798" i="2"/>
  <c r="L790" i="2"/>
  <c r="L734" i="2"/>
  <c r="L726" i="2"/>
  <c r="L678" i="2"/>
  <c r="L662" i="2"/>
  <c r="L646" i="2"/>
  <c r="L598" i="2"/>
  <c r="L590" i="2"/>
  <c r="L574" i="2"/>
  <c r="L558" i="2"/>
  <c r="L534" i="2"/>
  <c r="L502" i="2"/>
  <c r="L486" i="2"/>
  <c r="L470" i="2"/>
  <c r="L414" i="2"/>
  <c r="L406" i="2"/>
  <c r="L398" i="2"/>
  <c r="L342" i="2"/>
  <c r="L326" i="2"/>
  <c r="L310" i="2"/>
  <c r="L278" i="2"/>
  <c r="L254" i="2"/>
  <c r="L238" i="2"/>
  <c r="L222" i="2"/>
  <c r="L214" i="2"/>
  <c r="L166" i="2"/>
  <c r="L150" i="2"/>
  <c r="L134" i="2"/>
  <c r="L86" i="2"/>
  <c r="L78" i="2"/>
  <c r="L62" i="2"/>
  <c r="L46" i="2"/>
  <c r="L30" i="2"/>
  <c r="L22" i="2"/>
  <c r="L14" i="2"/>
  <c r="L6" i="2"/>
</calcChain>
</file>

<file path=xl/sharedStrings.xml><?xml version="1.0" encoding="utf-8"?>
<sst xmlns="http://schemas.openxmlformats.org/spreadsheetml/2006/main" count="214" uniqueCount="61">
  <si>
    <t>Sales</t>
  </si>
  <si>
    <t>Cost Of Sales</t>
  </si>
  <si>
    <t>Quantity Sold</t>
  </si>
  <si>
    <t>daily_sales_price_per_ unit</t>
  </si>
  <si>
    <t>daily % gross profit</t>
  </si>
  <si>
    <t>% gross profit per unit</t>
  </si>
  <si>
    <t>cost_per_unit</t>
  </si>
  <si>
    <t>Date</t>
  </si>
  <si>
    <t>month</t>
  </si>
  <si>
    <t>year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</si>
  <si>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</si>
  <si>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</si>
  <si>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</si>
  <si>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</si>
  <si>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</si>
  <si>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</si>
  <si>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</si>
  <si>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</si>
  <si>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</si>
  <si>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</si>
  <si>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</si>
  <si>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</si>
  <si>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</si>
  <si>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</si>
  <si>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2015</t>
  </si>
  <si>
    <t>2016</t>
  </si>
  <si>
    <t>Average of daily % gross profit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</si>
  <si>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</si>
  <si>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</si>
  <si>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</si>
  <si>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</si>
  <si>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</si>
  <si>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</si>
  <si>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</si>
  <si>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</si>
  <si>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price flag</t>
  </si>
  <si>
    <t>High</t>
  </si>
  <si>
    <t>Low</t>
  </si>
  <si>
    <t>Medium</t>
  </si>
  <si>
    <t>month_name</t>
  </si>
  <si>
    <t>total_sales</t>
  </si>
  <si>
    <t>total_quantity</t>
  </si>
  <si>
    <t>avg_unit_price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</si>
  <si>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</si>
  <si>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</si>
  <si>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</si>
  <si>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</si>
  <si>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</si>
  <si>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</si>
  <si>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</si>
  <si>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</si>
  <si>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</si>
  <si>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</si>
  <si>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</si>
  <si>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price volatility</t>
  </si>
  <si>
    <t>volume volatility</t>
  </si>
  <si>
    <t>total_costs</t>
  </si>
  <si>
    <t>gross profit %</t>
  </si>
  <si>
    <t>avg_unit_cost</t>
  </si>
  <si>
    <t>gross_profit %</t>
  </si>
  <si>
    <t>avg_unit_costs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</si>
</sst>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All years show a year‑end price rise, with 2016 displaying the strongest upward trend.</a:t>
            </a:r>
            <a:endParaRPr lang="en-US" b="1"/>
          </a:p>
        </c:rich>
      </c:tx>
      <c:layout>
        <c:manualLayout>
          <c:xMode val="edge"/>
          <c:yMode val="edge"/>
          <c:x val="8.8818897637795245E-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1'!$S$1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1'!$R$2:$R$13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1'!$S$2:$S$13</c:f>
              <c:numCache>
                <c:formatCode>General</c:formatCode>
                <c:ptCount val="12"/>
                <c:pt idx="0">
                  <c:v>33.411248853832397</c:v>
                </c:pt>
                <c:pt idx="1">
                  <c:v>32.468263043432501</c:v>
                </c:pt>
                <c:pt idx="2">
                  <c:v>32.746591355166998</c:v>
                </c:pt>
                <c:pt idx="3">
                  <c:v>33.856117637407898</c:v>
                </c:pt>
                <c:pt idx="4">
                  <c:v>32.634158721844997</c:v>
                </c:pt>
                <c:pt idx="5">
                  <c:v>32.470285886969002</c:v>
                </c:pt>
                <c:pt idx="6">
                  <c:v>33.460456268989603</c:v>
                </c:pt>
                <c:pt idx="7">
                  <c:v>32.2320695261485</c:v>
                </c:pt>
                <c:pt idx="8">
                  <c:v>32.1501991589097</c:v>
                </c:pt>
                <c:pt idx="9">
                  <c:v>34.504209747669002</c:v>
                </c:pt>
                <c:pt idx="10">
                  <c:v>38.375262110520097</c:v>
                </c:pt>
                <c:pt idx="11">
                  <c:v>39.376905602044403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7-440F-A2F8-46B3534B6D88}"/>
            </c:ext>
          </c:extLst>
        </c:ser>
        <c:ser>
          <c:idx val="1"/>
          <c:order val="1"/>
          <c:tx>
            <c:strRef>
              <c:f>'data 1'!$T$1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1'!$R$2:$R$13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1'!$T$2:$T$13</c:f>
              <c:numCache>
                <c:formatCode>General</c:formatCode>
                <c:ptCount val="12"/>
                <c:pt idx="0">
                  <c:v>40.2898574606224</c:v>
                </c:pt>
                <c:pt idx="1">
                  <c:v>38.367043392572</c:v>
                </c:pt>
                <c:pt idx="2">
                  <c:v>38.554455622407097</c:v>
                </c:pt>
                <c:pt idx="3">
                  <c:v>38.802318442302301</c:v>
                </c:pt>
                <c:pt idx="4">
                  <c:v>37.976977409126903</c:v>
                </c:pt>
                <c:pt idx="5">
                  <c:v>39.039897913143101</c:v>
                </c:pt>
                <c:pt idx="6">
                  <c:v>38.469585553412699</c:v>
                </c:pt>
                <c:pt idx="7">
                  <c:v>36.131354547849398</c:v>
                </c:pt>
                <c:pt idx="8">
                  <c:v>34.633667742695799</c:v>
                </c:pt>
                <c:pt idx="9">
                  <c:v>35.683488103903102</c:v>
                </c:pt>
                <c:pt idx="10">
                  <c:v>35.176302032894299</c:v>
                </c:pt>
                <c:pt idx="11">
                  <c:v>36.409440216419398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7-440F-A2F8-46B3534B6D88}"/>
            </c:ext>
          </c:extLst>
        </c:ser>
        <c:ser>
          <c:idx val="2"/>
          <c:order val="2"/>
          <c:tx>
            <c:strRef>
              <c:f>'data 1'!$U$1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1'!$R$2:$R$13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1'!$U$2:$U$13</c:f>
              <c:numCache>
                <c:formatCode>General</c:formatCode>
                <c:ptCount val="12"/>
                <c:pt idx="0">
                  <c:v>35.8863883191447</c:v>
                </c:pt>
                <c:pt idx="1">
                  <c:v>36.783835896965897</c:v>
                </c:pt>
                <c:pt idx="2">
                  <c:v>39.790469560895097</c:v>
                </c:pt>
                <c:pt idx="3">
                  <c:v>34.992931049918496</c:v>
                </c:pt>
                <c:pt idx="4">
                  <c:v>35.340413942133502</c:v>
                </c:pt>
                <c:pt idx="5">
                  <c:v>34.289609559760002</c:v>
                </c:pt>
                <c:pt idx="6">
                  <c:v>36.676397051118002</c:v>
                </c:pt>
                <c:pt idx="7">
                  <c:v>35.134236095733101</c:v>
                </c:pt>
                <c:pt idx="8">
                  <c:v>36.7595465944718</c:v>
                </c:pt>
                <c:pt idx="9">
                  <c:v>41.102805955461299</c:v>
                </c:pt>
                <c:pt idx="10">
                  <c:v>42.9403544522931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7-440F-A2F8-46B3534B6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654720"/>
        <c:axId val="1228655200"/>
      </c:lineChart>
      <c:catAx>
        <c:axId val="12286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55200"/>
        <c:crosses val="autoZero"/>
        <c:auto val="1"/>
        <c:lblAlgn val="ctr"/>
        <c:lblOffset val="100"/>
        <c:noMultiLvlLbl val="0"/>
      </c:catAx>
      <c:valAx>
        <c:axId val="1228655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Avg_unit_price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5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 dirty="0">
                <a:solidFill>
                  <a:schemeClr val="tx1"/>
                </a:solidFill>
              </a:rPr>
              <a:t>A price drop triggers a strong increase in quantity sold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9.6734470691163532E-3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1'!$N$1</c:f>
              <c:strCache>
                <c:ptCount val="1"/>
                <c:pt idx="0">
                  <c:v>total_quantity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1'!$K$2:$K$36</c:f>
              <c:numCache>
                <c:formatCode>mmm\ 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'data 1'!$N$2:$N$36</c:f>
              <c:numCache>
                <c:formatCode>General</c:formatCode>
                <c:ptCount val="35"/>
                <c:pt idx="0">
                  <c:v>119965</c:v>
                </c:pt>
                <c:pt idx="1">
                  <c:v>178035</c:v>
                </c:pt>
                <c:pt idx="2">
                  <c:v>252836</c:v>
                </c:pt>
                <c:pt idx="3">
                  <c:v>190091</c:v>
                </c:pt>
                <c:pt idx="4">
                  <c:v>235793</c:v>
                </c:pt>
                <c:pt idx="5">
                  <c:v>198857</c:v>
                </c:pt>
                <c:pt idx="6">
                  <c:v>147449</c:v>
                </c:pt>
                <c:pt idx="7">
                  <c:v>310572</c:v>
                </c:pt>
                <c:pt idx="8">
                  <c:v>237742</c:v>
                </c:pt>
                <c:pt idx="9">
                  <c:v>171709</c:v>
                </c:pt>
                <c:pt idx="10">
                  <c:v>68569</c:v>
                </c:pt>
                <c:pt idx="11">
                  <c:v>142612</c:v>
                </c:pt>
                <c:pt idx="12">
                  <c:v>91740</c:v>
                </c:pt>
                <c:pt idx="13">
                  <c:v>127753</c:v>
                </c:pt>
                <c:pt idx="14">
                  <c:v>136673</c:v>
                </c:pt>
                <c:pt idx="15">
                  <c:v>153702</c:v>
                </c:pt>
                <c:pt idx="16">
                  <c:v>220775</c:v>
                </c:pt>
                <c:pt idx="17">
                  <c:v>136581</c:v>
                </c:pt>
                <c:pt idx="18">
                  <c:v>95600</c:v>
                </c:pt>
                <c:pt idx="19">
                  <c:v>108899</c:v>
                </c:pt>
                <c:pt idx="20">
                  <c:v>134837</c:v>
                </c:pt>
                <c:pt idx="21">
                  <c:v>135328</c:v>
                </c:pt>
                <c:pt idx="22">
                  <c:v>185868</c:v>
                </c:pt>
                <c:pt idx="23">
                  <c:v>187333</c:v>
                </c:pt>
                <c:pt idx="24">
                  <c:v>150561</c:v>
                </c:pt>
                <c:pt idx="25">
                  <c:v>132990</c:v>
                </c:pt>
                <c:pt idx="26">
                  <c:v>74185</c:v>
                </c:pt>
                <c:pt idx="27">
                  <c:v>190235</c:v>
                </c:pt>
                <c:pt idx="28">
                  <c:v>146298</c:v>
                </c:pt>
                <c:pt idx="29">
                  <c:v>197469</c:v>
                </c:pt>
                <c:pt idx="30">
                  <c:v>90653</c:v>
                </c:pt>
                <c:pt idx="31">
                  <c:v>123621</c:v>
                </c:pt>
                <c:pt idx="32">
                  <c:v>88672</c:v>
                </c:pt>
                <c:pt idx="33">
                  <c:v>56667</c:v>
                </c:pt>
                <c:pt idx="34">
                  <c:v>43107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9-425C-B03E-55AEB35E2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133439"/>
        <c:axId val="1430134879"/>
      </c:lineChart>
      <c:lineChart>
        <c:grouping val="standard"/>
        <c:varyColors val="0"/>
        <c:ser>
          <c:idx val="1"/>
          <c:order val="1"/>
          <c:tx>
            <c:strRef>
              <c:f>'data 1'!$O$1</c:f>
              <c:strCache>
                <c:ptCount val="1"/>
                <c:pt idx="0">
                  <c:v>avg_unit_price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'data 1'!$K$2:$K$36</c:f>
              <c:numCache>
                <c:formatCode>mmm\ 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'data 1'!$O$2:$O$36</c:f>
              <c:numCache>
                <c:formatCode>General</c:formatCode>
                <c:ptCount val="35"/>
                <c:pt idx="0">
                  <c:v>33.411248853832397</c:v>
                </c:pt>
                <c:pt idx="1">
                  <c:v>32.468263043432501</c:v>
                </c:pt>
                <c:pt idx="2">
                  <c:v>32.746591355166998</c:v>
                </c:pt>
                <c:pt idx="3">
                  <c:v>33.856117637407898</c:v>
                </c:pt>
                <c:pt idx="4">
                  <c:v>32.634158721844997</c:v>
                </c:pt>
                <c:pt idx="5">
                  <c:v>32.470285886969002</c:v>
                </c:pt>
                <c:pt idx="6">
                  <c:v>33.460456268989603</c:v>
                </c:pt>
                <c:pt idx="7">
                  <c:v>32.2320695261485</c:v>
                </c:pt>
                <c:pt idx="8">
                  <c:v>32.1501991589097</c:v>
                </c:pt>
                <c:pt idx="9">
                  <c:v>34.504209747669002</c:v>
                </c:pt>
                <c:pt idx="10">
                  <c:v>38.375262110520097</c:v>
                </c:pt>
                <c:pt idx="11">
                  <c:v>39.376905602044403</c:v>
                </c:pt>
                <c:pt idx="12">
                  <c:v>40.2898574606224</c:v>
                </c:pt>
                <c:pt idx="13">
                  <c:v>38.367043392572</c:v>
                </c:pt>
                <c:pt idx="14">
                  <c:v>38.554455622407097</c:v>
                </c:pt>
                <c:pt idx="15">
                  <c:v>38.802318442302301</c:v>
                </c:pt>
                <c:pt idx="16">
                  <c:v>37.976977409126903</c:v>
                </c:pt>
                <c:pt idx="17">
                  <c:v>39.039897913143101</c:v>
                </c:pt>
                <c:pt idx="18">
                  <c:v>38.469585553412699</c:v>
                </c:pt>
                <c:pt idx="19">
                  <c:v>36.131354547849398</c:v>
                </c:pt>
                <c:pt idx="20">
                  <c:v>34.633667742695799</c:v>
                </c:pt>
                <c:pt idx="21">
                  <c:v>35.683488103903102</c:v>
                </c:pt>
                <c:pt idx="22">
                  <c:v>35.176302032894299</c:v>
                </c:pt>
                <c:pt idx="23">
                  <c:v>36.409440216419398</c:v>
                </c:pt>
                <c:pt idx="24">
                  <c:v>35.8863883191447</c:v>
                </c:pt>
                <c:pt idx="25">
                  <c:v>36.783835896965897</c:v>
                </c:pt>
                <c:pt idx="26">
                  <c:v>39.790469560895097</c:v>
                </c:pt>
                <c:pt idx="27">
                  <c:v>34.992931049918496</c:v>
                </c:pt>
                <c:pt idx="28">
                  <c:v>35.340413942133502</c:v>
                </c:pt>
                <c:pt idx="29">
                  <c:v>34.289609559760002</c:v>
                </c:pt>
                <c:pt idx="30">
                  <c:v>36.676397051118002</c:v>
                </c:pt>
                <c:pt idx="31">
                  <c:v>35.134236095733101</c:v>
                </c:pt>
                <c:pt idx="32">
                  <c:v>36.7595465944718</c:v>
                </c:pt>
                <c:pt idx="33">
                  <c:v>41.102805955461299</c:v>
                </c:pt>
                <c:pt idx="34">
                  <c:v>42.9403544522931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9-425C-B03E-55AEB35E2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033359"/>
        <c:axId val="1418033839"/>
      </c:lineChart>
      <c:dateAx>
        <c:axId val="1430133439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34879"/>
        <c:crosses val="autoZero"/>
        <c:auto val="1"/>
        <c:lblOffset val="100"/>
        <c:baseTimeUnit val="months"/>
      </c:dateAx>
      <c:valAx>
        <c:axId val="1430134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total_quantity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3935513269174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33439"/>
        <c:crosses val="autoZero"/>
        <c:crossBetween val="between"/>
      </c:valAx>
      <c:valAx>
        <c:axId val="14180338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avg_unit_price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33359"/>
        <c:crosses val="max"/>
        <c:crossBetween val="between"/>
      </c:valAx>
      <c:dateAx>
        <c:axId val="1418033359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141803383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 dirty="0">
                <a:solidFill>
                  <a:schemeClr val="tx1"/>
                </a:solidFill>
                <a:effectLst/>
              </a:rPr>
              <a:t>2015 marks the high point in unit pricing</a:t>
            </a:r>
            <a:endParaRPr lang="en-US" sz="1400" b="1" i="1" u="none" strike="noStrike" kern="1200" spc="0" baseline="0" dirty="0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2.213538428833119E-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1'!$R$17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1'!$V$16</c:f>
              <c:strCache>
                <c:ptCount val="1"/>
                <c:pt idx="0">
                  <c:v>avg_unit_price</c:v>
                </c:pt>
              </c:strCache>
            </c:strRef>
          </c:cat>
          <c:val>
            <c:numRef>
              <c:f>'data 1'!$V$17</c:f>
              <c:numCache>
                <c:formatCode>General</c:formatCode>
                <c:ptCount val="1"/>
                <c:pt idx="0">
                  <c:v>33.454871801083399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1-47D9-B939-CD22FD9DEA85}"/>
            </c:ext>
          </c:extLst>
        </c:ser>
        <c:ser>
          <c:idx val="1"/>
          <c:order val="1"/>
          <c:tx>
            <c:strRef>
              <c:f>'data 1'!$R$18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1'!$V$16</c:f>
              <c:strCache>
                <c:ptCount val="1"/>
                <c:pt idx="0">
                  <c:v>avg_unit_price</c:v>
                </c:pt>
              </c:strCache>
            </c:strRef>
          </c:cat>
          <c:val>
            <c:numRef>
              <c:f>'data 1'!$V$18</c:f>
              <c:numCache>
                <c:formatCode>General</c:formatCode>
                <c:ptCount val="1"/>
                <c:pt idx="0">
                  <c:v>37.326105658957403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1-47D9-B939-CD22FD9DEA85}"/>
            </c:ext>
          </c:extLst>
        </c:ser>
        <c:ser>
          <c:idx val="2"/>
          <c:order val="2"/>
          <c:tx>
            <c:strRef>
              <c:f>'data 1'!$R$19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1'!$V$16</c:f>
              <c:strCache>
                <c:ptCount val="1"/>
                <c:pt idx="0">
                  <c:v>avg_unit_price</c:v>
                </c:pt>
              </c:strCache>
            </c:strRef>
          </c:cat>
          <c:val>
            <c:numRef>
              <c:f>'data 1'!$V$19</c:f>
              <c:numCache>
                <c:formatCode>General</c:formatCode>
                <c:ptCount val="1"/>
                <c:pt idx="0">
                  <c:v>36.272305290491303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B1-47D9-B939-CD22FD9DEA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1553136"/>
        <c:axId val="1001551216"/>
      </c:barChart>
      <c:catAx>
        <c:axId val="100155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51216"/>
        <c:crosses val="autoZero"/>
        <c:auto val="1"/>
        <c:lblAlgn val="ctr"/>
        <c:lblOffset val="100"/>
        <c:noMultiLvlLbl val="0"/>
      </c:catAx>
      <c:valAx>
        <c:axId val="1001551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155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Volume continues to fall even after prices eased in 2016</a:t>
            </a:r>
            <a:endParaRPr lang="en-US" sz="1400" b="1" i="1" u="none" strike="noStrike" kern="1200" spc="0" baseline="0" dirty="0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8.465223097112862E-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'data 1'!$U$16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'data 1'!$R$17:$R$19</c:f>
              <c:numCache>
                <c:formatCode>General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'data 1'!$U$17:$U$19</c:f>
              <c:numCache>
                <c:formatCode>General</c:formatCode>
                <c:ptCount val="3"/>
                <c:pt idx="0">
                  <c:v>2254230</c:v>
                </c:pt>
                <c:pt idx="1">
                  <c:v>1715089</c:v>
                </c:pt>
                <c:pt idx="2">
                  <c:v>1294458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F-4B5D-8F3C-FC4965AD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576224"/>
        <c:axId val="993576704"/>
      </c:barChart>
      <c:lineChart>
        <c:grouping val="standard"/>
        <c:varyColors val="0"/>
        <c:ser>
          <c:idx val="2"/>
          <c:order val="1"/>
          <c:tx>
            <c:strRef>
              <c:f>'data 1'!$V$16</c:f>
              <c:strCache>
                <c:ptCount val="1"/>
                <c:pt idx="0">
                  <c:v>avg_unit_price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1'!$R$17:$R$19</c:f>
              <c:numCache>
                <c:formatCode>General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'data 1'!$V$17:$V$19</c:f>
              <c:numCache>
                <c:formatCode>General</c:formatCode>
                <c:ptCount val="3"/>
                <c:pt idx="0">
                  <c:v>33.454871801083399</c:v>
                </c:pt>
                <c:pt idx="1">
                  <c:v>37.326105658957403</c:v>
                </c:pt>
                <c:pt idx="2">
                  <c:v>36.272305290491303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F-4B5D-8F3C-FC4965AD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238592"/>
        <c:axId val="938238112"/>
      </c:lineChart>
      <c:catAx>
        <c:axId val="9935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76704"/>
        <c:crosses val="autoZero"/>
        <c:auto val="1"/>
        <c:lblAlgn val="ctr"/>
        <c:lblOffset val="100"/>
        <c:noMultiLvlLbl val="0"/>
      </c:catAx>
      <c:valAx>
        <c:axId val="993576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total_quantity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1744568387284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76224"/>
        <c:crosses val="autoZero"/>
        <c:crossBetween val="between"/>
      </c:valAx>
      <c:valAx>
        <c:axId val="9382381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avg_unit_price</a:t>
                </a:r>
              </a:p>
            </c:rich>
          </c:tx>
          <c:layout>
            <c:manualLayout>
              <c:xMode val="edge"/>
              <c:yMode val="edge"/>
              <c:x val="0.94387489063867014"/>
              <c:y val="0.40728382910469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38592"/>
        <c:crosses val="max"/>
        <c:crossBetween val="between"/>
      </c:valAx>
      <c:catAx>
        <c:axId val="93823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8238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Gross profit margins remain negative across all years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1'!$R$17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1'!$W$16</c:f>
              <c:strCache>
                <c:ptCount val="1"/>
                <c:pt idx="0">
                  <c:v>gross profit %</c:v>
                </c:pt>
              </c:strCache>
            </c:strRef>
          </c:cat>
          <c:val>
            <c:numRef>
              <c:f>'data 1'!$W$17</c:f>
              <c:numCache>
                <c:formatCode>General</c:formatCode>
                <c:ptCount val="1"/>
                <c:pt idx="0">
                  <c:v>-3.0045410380941497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D-4781-95F8-6FBD415F5DB0}"/>
            </c:ext>
          </c:extLst>
        </c:ser>
        <c:ser>
          <c:idx val="1"/>
          <c:order val="1"/>
          <c:tx>
            <c:strRef>
              <c:f>'data 1'!$R$18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1'!$W$16</c:f>
              <c:strCache>
                <c:ptCount val="1"/>
                <c:pt idx="0">
                  <c:v>gross profit %</c:v>
                </c:pt>
              </c:strCache>
            </c:strRef>
          </c:cat>
          <c:val>
            <c:numRef>
              <c:f>'data 1'!$W$18</c:f>
              <c:numCache>
                <c:formatCode>General</c:formatCode>
                <c:ptCount val="1"/>
                <c:pt idx="0">
                  <c:v>-6.0914670376998545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D-4781-95F8-6FBD415F5DB0}"/>
            </c:ext>
          </c:extLst>
        </c:ser>
        <c:ser>
          <c:idx val="2"/>
          <c:order val="2"/>
          <c:tx>
            <c:strRef>
              <c:f>'data 1'!$R$19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1'!$W$16</c:f>
              <c:strCache>
                <c:ptCount val="1"/>
                <c:pt idx="0">
                  <c:v>gross profit %</c:v>
                </c:pt>
              </c:strCache>
            </c:strRef>
          </c:cat>
          <c:val>
            <c:numRef>
              <c:f>'data 1'!$W$19</c:f>
              <c:numCache>
                <c:formatCode>General</c:formatCode>
                <c:ptCount val="1"/>
                <c:pt idx="0">
                  <c:v>-1.997774294922261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D-4781-95F8-6FBD415F5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5067424"/>
        <c:axId val="1195067904"/>
      </c:barChart>
      <c:catAx>
        <c:axId val="11950674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5067904"/>
        <c:crosses val="autoZero"/>
        <c:auto val="1"/>
        <c:lblAlgn val="ctr"/>
        <c:lblOffset val="100"/>
        <c:noMultiLvlLbl val="0"/>
      </c:catAx>
      <c:valAx>
        <c:axId val="119506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profit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0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770056867891519"/>
          <c:y val="0.92187445319335082"/>
          <c:w val="0.2812653105861767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Cost–Price gap peaks in 2015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1'!$V$16</c:f>
              <c:strCache>
                <c:ptCount val="1"/>
                <c:pt idx="0">
                  <c:v>avg_unit_price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1'!$R$17:$R$19</c:f>
              <c:numCache>
                <c:formatCode>General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'data 1'!$V$17:$V$19</c:f>
              <c:numCache>
                <c:formatCode>General</c:formatCode>
                <c:ptCount val="3"/>
                <c:pt idx="0">
                  <c:v>33.454871801083399</c:v>
                </c:pt>
                <c:pt idx="1">
                  <c:v>37.326105658957403</c:v>
                </c:pt>
                <c:pt idx="2">
                  <c:v>36.272305290491303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5-4C35-8CF6-9B90C7E523A3}"/>
            </c:ext>
          </c:extLst>
        </c:ser>
        <c:ser>
          <c:idx val="2"/>
          <c:order val="1"/>
          <c:tx>
            <c:strRef>
              <c:f>'data 1'!$X$16</c:f>
              <c:strCache>
                <c:ptCount val="1"/>
                <c:pt idx="0">
                  <c:v>avg_unit_cost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1'!$R$17:$R$19</c:f>
              <c:numCache>
                <c:formatCode>General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'data 1'!$X$17:$X$19</c:f>
              <c:numCache>
                <c:formatCode>General</c:formatCode>
                <c:ptCount val="3"/>
                <c:pt idx="0">
                  <c:v>34.460037153588765</c:v>
                </c:pt>
                <c:pt idx="1">
                  <c:v>39.599813081629819</c:v>
                </c:pt>
                <c:pt idx="2">
                  <c:v>36.996944081760475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5-4C35-8CF6-9B90C7E5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236192"/>
        <c:axId val="1193731440"/>
      </c:lineChart>
      <c:catAx>
        <c:axId val="9382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31440"/>
        <c:crosses val="autoZero"/>
        <c:auto val="1"/>
        <c:lblAlgn val="ctr"/>
        <c:lblOffset val="100"/>
        <c:noMultiLvlLbl val="0"/>
      </c:catAx>
      <c:valAx>
        <c:axId val="119373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Profitability remains unstable, with no consistent monthly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1'!$X$39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1'!$W$40:$W$51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1'!$X$40:$X$51</c:f>
              <c:numCache>
                <c:formatCode>General</c:formatCode>
                <c:ptCount val="12"/>
                <c:pt idx="0">
                  <c:v>0.31088110623761445</c:v>
                </c:pt>
                <c:pt idx="1">
                  <c:v>-2.300695787884651</c:v>
                </c:pt>
                <c:pt idx="2">
                  <c:v>-1.6442599057883243</c:v>
                </c:pt>
                <c:pt idx="3">
                  <c:v>-0.68213299329037658</c:v>
                </c:pt>
                <c:pt idx="4">
                  <c:v>-4.1889307186891553</c:v>
                </c:pt>
                <c:pt idx="5">
                  <c:v>-2.925532676253396</c:v>
                </c:pt>
                <c:pt idx="6">
                  <c:v>-1.4428098657411985</c:v>
                </c:pt>
                <c:pt idx="7">
                  <c:v>-5.1352109162845059</c:v>
                </c:pt>
                <c:pt idx="8">
                  <c:v>-7.19710632569896</c:v>
                </c:pt>
                <c:pt idx="9">
                  <c:v>-1.9204053084751551</c:v>
                </c:pt>
                <c:pt idx="10">
                  <c:v>4.3410553721761982</c:v>
                </c:pt>
                <c:pt idx="11">
                  <c:v>-5.6837329225122861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8-4238-817F-C4D58FA34CB9}"/>
            </c:ext>
          </c:extLst>
        </c:ser>
        <c:ser>
          <c:idx val="1"/>
          <c:order val="1"/>
          <c:tx>
            <c:strRef>
              <c:f>'data 1'!$Y$39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1'!$W$40:$W$51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1'!$Y$40:$Y$51</c:f>
              <c:numCache>
                <c:formatCode>General</c:formatCode>
                <c:ptCount val="12"/>
                <c:pt idx="0">
                  <c:v>-4.1953708411201083</c:v>
                </c:pt>
                <c:pt idx="1">
                  <c:v>-5.1056025600262611</c:v>
                </c:pt>
                <c:pt idx="2">
                  <c:v>-6.2678972089817808</c:v>
                </c:pt>
                <c:pt idx="3">
                  <c:v>-5.4104625675973264</c:v>
                </c:pt>
                <c:pt idx="4">
                  <c:v>-7.0289704891637061</c:v>
                </c:pt>
                <c:pt idx="5">
                  <c:v>-3.5411329338417676</c:v>
                </c:pt>
                <c:pt idx="6">
                  <c:v>-4.1193277609057439</c:v>
                </c:pt>
                <c:pt idx="7">
                  <c:v>-7.021149946915564</c:v>
                </c:pt>
                <c:pt idx="8">
                  <c:v>-7.5932001246945839</c:v>
                </c:pt>
                <c:pt idx="9">
                  <c:v>-7.175829608382382</c:v>
                </c:pt>
                <c:pt idx="10">
                  <c:v>-9.1873795366344257</c:v>
                </c:pt>
                <c:pt idx="11">
                  <c:v>-4.8914065951475436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8-4238-817F-C4D58FA34CB9}"/>
            </c:ext>
          </c:extLst>
        </c:ser>
        <c:ser>
          <c:idx val="2"/>
          <c:order val="2"/>
          <c:tx>
            <c:strRef>
              <c:f>'data 1'!$Z$39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1'!$W$40:$W$51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1'!$Z$40:$Z$51</c:f>
              <c:numCache>
                <c:formatCode>General</c:formatCode>
                <c:ptCount val="12"/>
                <c:pt idx="0">
                  <c:v>-4.7056804124149521</c:v>
                </c:pt>
                <c:pt idx="1">
                  <c:v>5.2713284946699621E-2</c:v>
                </c:pt>
                <c:pt idx="2">
                  <c:v>1.1536638074784085</c:v>
                </c:pt>
                <c:pt idx="3">
                  <c:v>-7.0731583976238079</c:v>
                </c:pt>
                <c:pt idx="4">
                  <c:v>-3.2525181162900583</c:v>
                </c:pt>
                <c:pt idx="5">
                  <c:v>-5.8662954233559041</c:v>
                </c:pt>
                <c:pt idx="6">
                  <c:v>1.6971766332449401</c:v>
                </c:pt>
                <c:pt idx="7">
                  <c:v>-3.1417895570844165</c:v>
                </c:pt>
                <c:pt idx="8">
                  <c:v>1.5138694621548239</c:v>
                </c:pt>
                <c:pt idx="9">
                  <c:v>9.4437660468106674</c:v>
                </c:pt>
                <c:pt idx="10">
                  <c:v>6.8371119857424638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8-4238-817F-C4D58FA34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125584"/>
        <c:axId val="1110124624"/>
      </c:lineChart>
      <c:catAx>
        <c:axId val="111012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24624"/>
        <c:crosses val="autoZero"/>
        <c:auto val="1"/>
        <c:lblAlgn val="ctr"/>
        <c:lblOffset val="100"/>
        <c:noMultiLvlLbl val="0"/>
      </c:catAx>
      <c:valAx>
        <c:axId val="111012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profit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Profitability stays weak because costs move too closely with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00481189851266E-2"/>
          <c:y val="0.17171296296296298"/>
          <c:w val="0.89532174103237094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'daily  data analysis'!$V$1</c:f>
              <c:strCache>
                <c:ptCount val="1"/>
                <c:pt idx="0">
                  <c:v>gross_profit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 data analysis'!$S$2:$S$36</c:f>
              <c:numCache>
                <c:formatCode>mmm\ 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'daily  data analysis'!$V$2:$V$36</c:f>
              <c:numCache>
                <c:formatCode>General</c:formatCode>
                <c:ptCount val="35"/>
                <c:pt idx="0">
                  <c:v>0.31088110623761445</c:v>
                </c:pt>
                <c:pt idx="1">
                  <c:v>-2.300695787884651</c:v>
                </c:pt>
                <c:pt idx="2">
                  <c:v>-1.6442599057883243</c:v>
                </c:pt>
                <c:pt idx="3">
                  <c:v>-0.68213299329037658</c:v>
                </c:pt>
                <c:pt idx="4">
                  <c:v>-4.1889307186891553</c:v>
                </c:pt>
                <c:pt idx="5">
                  <c:v>-2.925532676253396</c:v>
                </c:pt>
                <c:pt idx="6">
                  <c:v>-1.4428098657411985</c:v>
                </c:pt>
                <c:pt idx="7">
                  <c:v>-5.1352109162845059</c:v>
                </c:pt>
                <c:pt idx="8">
                  <c:v>-7.19710632569896</c:v>
                </c:pt>
                <c:pt idx="9">
                  <c:v>-1.9204053084751551</c:v>
                </c:pt>
                <c:pt idx="10">
                  <c:v>4.3410553721761982</c:v>
                </c:pt>
                <c:pt idx="11">
                  <c:v>-5.6837329225122861</c:v>
                </c:pt>
                <c:pt idx="12">
                  <c:v>-4.1953708411201083</c:v>
                </c:pt>
                <c:pt idx="13">
                  <c:v>-5.1056025600262611</c:v>
                </c:pt>
                <c:pt idx="14">
                  <c:v>-6.2678972089817808</c:v>
                </c:pt>
                <c:pt idx="15">
                  <c:v>-5.4104625675973264</c:v>
                </c:pt>
                <c:pt idx="16">
                  <c:v>-7.0289704891637061</c:v>
                </c:pt>
                <c:pt idx="17">
                  <c:v>-3.5411329338417676</c:v>
                </c:pt>
                <c:pt idx="18">
                  <c:v>-4.1193277609057439</c:v>
                </c:pt>
                <c:pt idx="19">
                  <c:v>-7.021149946915564</c:v>
                </c:pt>
                <c:pt idx="20">
                  <c:v>-7.5932001246945839</c:v>
                </c:pt>
                <c:pt idx="21">
                  <c:v>-7.175829608382382</c:v>
                </c:pt>
                <c:pt idx="22">
                  <c:v>-9.1873795366344257</c:v>
                </c:pt>
                <c:pt idx="23">
                  <c:v>-4.8914065951475436</c:v>
                </c:pt>
                <c:pt idx="24">
                  <c:v>-4.7056804124149521</c:v>
                </c:pt>
                <c:pt idx="25">
                  <c:v>5.2713284946699621E-2</c:v>
                </c:pt>
                <c:pt idx="26">
                  <c:v>1.1536638074784085</c:v>
                </c:pt>
                <c:pt idx="27">
                  <c:v>-7.0731583976238079</c:v>
                </c:pt>
                <c:pt idx="28">
                  <c:v>-3.2525181162900583</c:v>
                </c:pt>
                <c:pt idx="29">
                  <c:v>-5.8662954233559041</c:v>
                </c:pt>
                <c:pt idx="30">
                  <c:v>1.6971766332449401</c:v>
                </c:pt>
                <c:pt idx="31">
                  <c:v>-3.1417895570844165</c:v>
                </c:pt>
                <c:pt idx="32">
                  <c:v>1.5138694621548239</c:v>
                </c:pt>
                <c:pt idx="33">
                  <c:v>9.4437660468106674</c:v>
                </c:pt>
                <c:pt idx="34">
                  <c:v>6.8371119857424638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4-4F94-BF58-CE79149946FA}"/>
            </c:ext>
          </c:extLst>
        </c:ser>
        <c:ser>
          <c:idx val="1"/>
          <c:order val="1"/>
          <c:tx>
            <c:strRef>
              <c:f>'daily  data analysis'!$X$1</c:f>
              <c:strCache>
                <c:ptCount val="1"/>
                <c:pt idx="0">
                  <c:v>avg_unit_costs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'daily  data analysis'!$S$2:$S$36</c:f>
              <c:numCache>
                <c:formatCode>mmm\ 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'daily  data analysis'!$X$2:$X$36</c:f>
              <c:numCache>
                <c:formatCode>General</c:formatCode>
                <c:ptCount val="35"/>
                <c:pt idx="0">
                  <c:v>33.307379593787772</c:v>
                </c:pt>
                <c:pt idx="1">
                  <c:v>33.215259003672031</c:v>
                </c:pt>
                <c:pt idx="2">
                  <c:v>33.285030427332345</c:v>
                </c:pt>
                <c:pt idx="3">
                  <c:v>34.087061386059837</c:v>
                </c:pt>
                <c:pt idx="4">
                  <c:v>34.001181021330147</c:v>
                </c:pt>
                <c:pt idx="5">
                  <c:v>33.420214710665199</c:v>
                </c:pt>
                <c:pt idx="6">
                  <c:v>33.943227033160618</c:v>
                </c:pt>
                <c:pt idx="7">
                  <c:v>33.88725427899972</c:v>
                </c:pt>
                <c:pt idx="8">
                  <c:v>34.464083176300356</c:v>
                </c:pt>
                <c:pt idx="9">
                  <c:v>35.166830423310657</c:v>
                </c:pt>
                <c:pt idx="10">
                  <c:v>36.709370733084633</c:v>
                </c:pt>
                <c:pt idx="11">
                  <c:v>41.614983749614339</c:v>
                </c:pt>
                <c:pt idx="12">
                  <c:v>41.980166392454215</c:v>
                </c:pt>
                <c:pt idx="13">
                  <c:v>40.325912142229534</c:v>
                </c:pt>
                <c:pt idx="14">
                  <c:v>40.971009270302105</c:v>
                </c:pt>
                <c:pt idx="15">
                  <c:v>40.901703356982992</c:v>
                </c:pt>
                <c:pt idx="16">
                  <c:v>40.646367943890837</c:v>
                </c:pt>
                <c:pt idx="17">
                  <c:v>40.42235259548363</c:v>
                </c:pt>
                <c:pt idx="18">
                  <c:v>40.054273870619767</c:v>
                </c:pt>
                <c:pt idx="19">
                  <c:v>38.668191128505583</c:v>
                </c:pt>
                <c:pt idx="20">
                  <c:v>37.263471444920533</c:v>
                </c:pt>
                <c:pt idx="21">
                  <c:v>38.244074408566597</c:v>
                </c:pt>
                <c:pt idx="22">
                  <c:v>38.408082407609164</c:v>
                </c:pt>
                <c:pt idx="23">
                  <c:v>38.190373976421668</c:v>
                </c:pt>
                <c:pt idx="24">
                  <c:v>37.575087065001895</c:v>
                </c:pt>
                <c:pt idx="25">
                  <c:v>36.764445928735242</c:v>
                </c:pt>
                <c:pt idx="26">
                  <c:v>39.331421314745299</c:v>
                </c:pt>
                <c:pt idx="27">
                  <c:v>37.46803649105054</c:v>
                </c:pt>
                <c:pt idx="28">
                  <c:v>36.489867307973313</c:v>
                </c:pt>
                <c:pt idx="29">
                  <c:v>36.301139356050825</c:v>
                </c:pt>
                <c:pt idx="30">
                  <c:v>36.053933810450289</c:v>
                </c:pt>
                <c:pt idx="31">
                  <c:v>36.238079856350296</c:v>
                </c:pt>
                <c:pt idx="32">
                  <c:v>36.203055044151476</c:v>
                </c:pt>
                <c:pt idx="33">
                  <c:v>37.221153122353044</c:v>
                </c:pt>
                <c:pt idx="34">
                  <c:v>40.004474331315102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4-4F94-BF58-CE79149946FA}"/>
            </c:ext>
          </c:extLst>
        </c:ser>
        <c:ser>
          <c:idx val="2"/>
          <c:order val="2"/>
          <c:tx>
            <c:strRef>
              <c:f>'daily  data analysis'!$Y$1</c:f>
              <c:strCache>
                <c:ptCount val="1"/>
                <c:pt idx="0">
                  <c:v>avg_unit_price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'daily  data analysis'!$S$2:$S$36</c:f>
              <c:numCache>
                <c:formatCode>mmm\ 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'daily  data analysis'!$Y$2:$Y$36</c:f>
              <c:numCache>
                <c:formatCode>General</c:formatCode>
                <c:ptCount val="35"/>
                <c:pt idx="0">
                  <c:v>33.411248853832397</c:v>
                </c:pt>
                <c:pt idx="1">
                  <c:v>32.468263043432501</c:v>
                </c:pt>
                <c:pt idx="2">
                  <c:v>32.746591355166998</c:v>
                </c:pt>
                <c:pt idx="3">
                  <c:v>33.856117637407898</c:v>
                </c:pt>
                <c:pt idx="4">
                  <c:v>32.634158721844997</c:v>
                </c:pt>
                <c:pt idx="5">
                  <c:v>32.470285886969002</c:v>
                </c:pt>
                <c:pt idx="6">
                  <c:v>33.460456268989603</c:v>
                </c:pt>
                <c:pt idx="7">
                  <c:v>32.2320695261485</c:v>
                </c:pt>
                <c:pt idx="8">
                  <c:v>32.1501991589097</c:v>
                </c:pt>
                <c:pt idx="9">
                  <c:v>34.504209747669002</c:v>
                </c:pt>
                <c:pt idx="10">
                  <c:v>38.375262110520097</c:v>
                </c:pt>
                <c:pt idx="11">
                  <c:v>39.376905602044403</c:v>
                </c:pt>
                <c:pt idx="12">
                  <c:v>40.2898574606224</c:v>
                </c:pt>
                <c:pt idx="13">
                  <c:v>38.367043392572</c:v>
                </c:pt>
                <c:pt idx="14">
                  <c:v>38.554455622407097</c:v>
                </c:pt>
                <c:pt idx="15">
                  <c:v>38.802318442302301</c:v>
                </c:pt>
                <c:pt idx="16">
                  <c:v>37.976977409126903</c:v>
                </c:pt>
                <c:pt idx="17">
                  <c:v>39.039897913143101</c:v>
                </c:pt>
                <c:pt idx="18">
                  <c:v>38.469585553412699</c:v>
                </c:pt>
                <c:pt idx="19">
                  <c:v>36.131354547849398</c:v>
                </c:pt>
                <c:pt idx="20">
                  <c:v>34.633667742695799</c:v>
                </c:pt>
                <c:pt idx="21">
                  <c:v>35.683488103903102</c:v>
                </c:pt>
                <c:pt idx="22">
                  <c:v>35.176302032894299</c:v>
                </c:pt>
                <c:pt idx="23">
                  <c:v>36.409440216419398</c:v>
                </c:pt>
                <c:pt idx="24">
                  <c:v>35.8863883191447</c:v>
                </c:pt>
                <c:pt idx="25">
                  <c:v>36.783835896965897</c:v>
                </c:pt>
                <c:pt idx="26">
                  <c:v>39.790469560895097</c:v>
                </c:pt>
                <c:pt idx="27">
                  <c:v>34.992931049918496</c:v>
                </c:pt>
                <c:pt idx="28">
                  <c:v>35.340413942133502</c:v>
                </c:pt>
                <c:pt idx="29">
                  <c:v>34.289609559760002</c:v>
                </c:pt>
                <c:pt idx="30">
                  <c:v>36.676397051118002</c:v>
                </c:pt>
                <c:pt idx="31">
                  <c:v>35.134236095733101</c:v>
                </c:pt>
                <c:pt idx="32">
                  <c:v>36.7595465944718</c:v>
                </c:pt>
                <c:pt idx="33">
                  <c:v>41.102805955461299</c:v>
                </c:pt>
                <c:pt idx="34">
                  <c:v>42.9403544522931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24-4F94-BF58-CE791499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121952"/>
        <c:axId val="285120992"/>
      </c:lineChart>
      <c:dateAx>
        <c:axId val="28512195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20992"/>
        <c:crosses val="autoZero"/>
        <c:auto val="1"/>
        <c:lblOffset val="100"/>
        <c:baseTimeUnit val="months"/>
      </c:dateAx>
      <c:valAx>
        <c:axId val="28512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2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Increasing quantity reduces gross profit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'data 1'!$O$39</c:f>
              <c:strCache>
                <c:ptCount val="1"/>
                <c:pt idx="0">
                  <c:v>total_quantity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1'!$K$40:$K$74</c:f>
              <c:strCache>
                <c:ptCount val="3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</c:strCache>
            </c:strRef>
          </c:cat>
          <c:val>
            <c:numRef>
              <c:f>'data 1'!$O$40:$O$74</c:f>
              <c:numCache>
                <c:formatCode>General</c:formatCode>
                <c:ptCount val="35"/>
                <c:pt idx="0">
                  <c:v>119965</c:v>
                </c:pt>
                <c:pt idx="1">
                  <c:v>178035</c:v>
                </c:pt>
                <c:pt idx="2">
                  <c:v>252836</c:v>
                </c:pt>
                <c:pt idx="3">
                  <c:v>190091</c:v>
                </c:pt>
                <c:pt idx="4">
                  <c:v>235793</c:v>
                </c:pt>
                <c:pt idx="5">
                  <c:v>198857</c:v>
                </c:pt>
                <c:pt idx="6">
                  <c:v>147449</c:v>
                </c:pt>
                <c:pt idx="7">
                  <c:v>310572</c:v>
                </c:pt>
                <c:pt idx="8">
                  <c:v>237742</c:v>
                </c:pt>
                <c:pt idx="9">
                  <c:v>171709</c:v>
                </c:pt>
                <c:pt idx="10">
                  <c:v>68569</c:v>
                </c:pt>
                <c:pt idx="11">
                  <c:v>142612</c:v>
                </c:pt>
                <c:pt idx="12">
                  <c:v>91740</c:v>
                </c:pt>
                <c:pt idx="13">
                  <c:v>127753</c:v>
                </c:pt>
                <c:pt idx="14">
                  <c:v>136673</c:v>
                </c:pt>
                <c:pt idx="15">
                  <c:v>153702</c:v>
                </c:pt>
                <c:pt idx="16">
                  <c:v>220775</c:v>
                </c:pt>
                <c:pt idx="17">
                  <c:v>136581</c:v>
                </c:pt>
                <c:pt idx="18">
                  <c:v>95600</c:v>
                </c:pt>
                <c:pt idx="19">
                  <c:v>108899</c:v>
                </c:pt>
                <c:pt idx="20">
                  <c:v>134837</c:v>
                </c:pt>
                <c:pt idx="21">
                  <c:v>135328</c:v>
                </c:pt>
                <c:pt idx="22">
                  <c:v>185868</c:v>
                </c:pt>
                <c:pt idx="23">
                  <c:v>187333</c:v>
                </c:pt>
                <c:pt idx="24">
                  <c:v>150561</c:v>
                </c:pt>
                <c:pt idx="25">
                  <c:v>132990</c:v>
                </c:pt>
                <c:pt idx="26">
                  <c:v>74185</c:v>
                </c:pt>
                <c:pt idx="27">
                  <c:v>190235</c:v>
                </c:pt>
                <c:pt idx="28">
                  <c:v>146298</c:v>
                </c:pt>
                <c:pt idx="29">
                  <c:v>197469</c:v>
                </c:pt>
                <c:pt idx="30">
                  <c:v>90653</c:v>
                </c:pt>
                <c:pt idx="31">
                  <c:v>123621</c:v>
                </c:pt>
                <c:pt idx="32">
                  <c:v>88672</c:v>
                </c:pt>
                <c:pt idx="33">
                  <c:v>56667</c:v>
                </c:pt>
                <c:pt idx="34">
                  <c:v>43107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9-429D-9914-547115F95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076480"/>
        <c:axId val="1193076000"/>
      </c:lineChart>
      <c:lineChart>
        <c:grouping val="standard"/>
        <c:varyColors val="0"/>
        <c:ser>
          <c:idx val="0"/>
          <c:order val="0"/>
          <c:tx>
            <c:strRef>
              <c:f>'data 1'!$N$39</c:f>
              <c:strCache>
                <c:ptCount val="1"/>
                <c:pt idx="0">
                  <c:v>gross_profit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1'!$K$40:$K$74</c:f>
              <c:strCache>
                <c:ptCount val="3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</c:strCache>
            </c:strRef>
          </c:cat>
          <c:val>
            <c:numRef>
              <c:f>'data 1'!$N$40:$N$74</c:f>
              <c:numCache>
                <c:formatCode>General</c:formatCode>
                <c:ptCount val="35"/>
                <c:pt idx="0">
                  <c:v>0.31088110623761445</c:v>
                </c:pt>
                <c:pt idx="1">
                  <c:v>-2.300695787884651</c:v>
                </c:pt>
                <c:pt idx="2">
                  <c:v>-1.6442599057883243</c:v>
                </c:pt>
                <c:pt idx="3">
                  <c:v>-0.68213299329037658</c:v>
                </c:pt>
                <c:pt idx="4">
                  <c:v>-4.1889307186891553</c:v>
                </c:pt>
                <c:pt idx="5">
                  <c:v>-2.925532676253396</c:v>
                </c:pt>
                <c:pt idx="6">
                  <c:v>-1.4428098657411985</c:v>
                </c:pt>
                <c:pt idx="7">
                  <c:v>-5.1352109162845059</c:v>
                </c:pt>
                <c:pt idx="8">
                  <c:v>-7.19710632569896</c:v>
                </c:pt>
                <c:pt idx="9">
                  <c:v>-1.9204053084751551</c:v>
                </c:pt>
                <c:pt idx="10">
                  <c:v>4.3410553721761982</c:v>
                </c:pt>
                <c:pt idx="11">
                  <c:v>-5.6837329225122861</c:v>
                </c:pt>
                <c:pt idx="12">
                  <c:v>-4.1953708411201083</c:v>
                </c:pt>
                <c:pt idx="13">
                  <c:v>-5.1056025600262611</c:v>
                </c:pt>
                <c:pt idx="14">
                  <c:v>-6.2678972089817808</c:v>
                </c:pt>
                <c:pt idx="15">
                  <c:v>-5.4104625675973264</c:v>
                </c:pt>
                <c:pt idx="16">
                  <c:v>-7.0289704891637061</c:v>
                </c:pt>
                <c:pt idx="17">
                  <c:v>-3.5411329338417676</c:v>
                </c:pt>
                <c:pt idx="18">
                  <c:v>-4.1193277609057439</c:v>
                </c:pt>
                <c:pt idx="19">
                  <c:v>-7.021149946915564</c:v>
                </c:pt>
                <c:pt idx="20">
                  <c:v>-7.5932001246945839</c:v>
                </c:pt>
                <c:pt idx="21">
                  <c:v>-7.175829608382382</c:v>
                </c:pt>
                <c:pt idx="22">
                  <c:v>-9.1873795366344257</c:v>
                </c:pt>
                <c:pt idx="23">
                  <c:v>-4.8914065951475436</c:v>
                </c:pt>
                <c:pt idx="24">
                  <c:v>-4.7056804124149521</c:v>
                </c:pt>
                <c:pt idx="25">
                  <c:v>5.2713284946699621E-2</c:v>
                </c:pt>
                <c:pt idx="26">
                  <c:v>1.1536638074784085</c:v>
                </c:pt>
                <c:pt idx="27">
                  <c:v>-7.0731583976238079</c:v>
                </c:pt>
                <c:pt idx="28">
                  <c:v>-3.2525181162900583</c:v>
                </c:pt>
                <c:pt idx="29">
                  <c:v>-5.8662954233559041</c:v>
                </c:pt>
                <c:pt idx="30">
                  <c:v>1.6971766332449401</c:v>
                </c:pt>
                <c:pt idx="31">
                  <c:v>-3.1417895570844165</c:v>
                </c:pt>
                <c:pt idx="32">
                  <c:v>1.5138694621548239</c:v>
                </c:pt>
                <c:pt idx="33">
                  <c:v>9.4437660468106674</c:v>
                </c:pt>
                <c:pt idx="34">
                  <c:v>6.8371119857424638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9-429D-9914-547115F95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811632"/>
        <c:axId val="1227806352"/>
      </c:lineChart>
      <c:catAx>
        <c:axId val="1193076480"/>
        <c:scaling>
          <c:orientation val="minMax"/>
        </c:scaling>
        <c:delete val="0"/>
        <c:axPos val="b"/>
        <c:numFmt formatCode="mmm\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76000"/>
        <c:crosses val="autoZero"/>
        <c:auto val="1"/>
        <c:lblAlgn val="ctr"/>
        <c:lblOffset val="100"/>
        <c:noMultiLvlLbl val="0"/>
      </c:catAx>
      <c:valAx>
        <c:axId val="119307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76480"/>
        <c:crosses val="autoZero"/>
        <c:crossBetween val="between"/>
      </c:valAx>
      <c:valAx>
        <c:axId val="1227806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11632"/>
        <c:crosses val="max"/>
        <c:crossBetween val="between"/>
      </c:valAx>
      <c:catAx>
        <c:axId val="1227811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7806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3</xdr:col>
      <xdr:colOff>754319</xdr:colOff>
      <xdr:row>40</xdr:row>
      <xdr:rowOff>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5825A-7B55-4F76-812F-4D8188804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8</xdr:col>
      <xdr:colOff>324158</xdr:colOff>
      <xdr:row>40</xdr:row>
      <xdr:rowOff>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A5532C-3D19-4D18-A287-B3B6052E9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76815</xdr:colOff>
      <xdr:row>10</xdr:row>
      <xdr:rowOff>38406</xdr:rowOff>
    </xdr:from>
    <xdr:to>
      <xdr:col>7</xdr:col>
      <xdr:colOff>537701</xdr:colOff>
      <xdr:row>24</xdr:row>
      <xdr:rowOff>93098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1E1087-3A38-4F7A-B2F9-1058F26A5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16</xdr:col>
      <xdr:colOff>585327</xdr:colOff>
      <xdr:row>24</xdr:row>
      <xdr:rowOff>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3D75D-1B81-4D63-9961-3FCED3603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3</xdr:col>
      <xdr:colOff>754319</xdr:colOff>
      <xdr:row>56</xdr:row>
      <xdr:rowOff>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394202-F587-456C-82DC-5A2064F4C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8</xdr:col>
      <xdr:colOff>324158</xdr:colOff>
      <xdr:row>56</xdr:row>
      <xdr:rowOff>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65977A-73DB-4C3F-AA9F-2C890EE5B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4</xdr:col>
      <xdr:colOff>691329</xdr:colOff>
      <xdr:row>72</xdr:row>
      <xdr:rowOff>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3DFF91-82E3-4F5E-967A-2E536D2DD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38407</xdr:colOff>
      <xdr:row>59</xdr:row>
      <xdr:rowOff>92177</xdr:rowOff>
    </xdr:from>
    <xdr:to>
      <xdr:col>11</xdr:col>
      <xdr:colOff>69133</xdr:colOff>
      <xdr:row>73</xdr:row>
      <xdr:rowOff>146869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92B3E9-B869-4BCC-BC3B-17B8D6D1E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75</xdr:row>
      <xdr:rowOff>0</xdr:rowOff>
    </xdr:from>
    <xdr:to>
      <xdr:col>3</xdr:col>
      <xdr:colOff>754319</xdr:colOff>
      <xdr:row>89</xdr:row>
      <xdr:rowOff>54692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EFCB98-C99D-476E-9A94-9CDDB7031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iweni" refreshedDate="46123.94499502315" createdVersion="8" refreshedVersion="8" minRefreshableVersion="3" recordCount="1053" xr:uid="{DBA4493D-3895-4E58-81F9-FA69F978EBAE}">
  <cacheSource type="worksheet">
    <worksheetSource ref="A1:L1054" sheet="daily  data analysis"/>
  </cacheSource>
  <cacheFields count="12">
    <cacheField name="Date" numFmtId="14">
      <sharedItems containsSemiMixedTypes="0" containsNonDate="0" containsDate="1" containsString="0" minDate="2013-12-30T00:00:00" maxDate="2016-11-17T00:00:00"/>
    </cacheField>
    <cacheField name="month" numFmtId="14">
      <sharedItems count="12">
        <s v="Dec"/>
        <s v="Jan"/>
        <s v="Feb"/>
        <s v="Mar"/>
        <s v="Apr"/>
        <s v="May"/>
        <s v="Jun"/>
        <s v="Jul"/>
        <s v="Aug"/>
        <s v="Sep"/>
        <s v="Oct"/>
        <s v="Nov"/>
      </sharedItems>
    </cacheField>
    <cacheField name="year" numFmtId="14">
      <sharedItems count="4">
        <s v="2013"/>
        <s v="2014"/>
        <s v="2015"/>
        <s v="2016"/>
      </sharedItems>
    </cacheField>
    <cacheField name="Day" numFmtId="14">
      <sharedItems count="7">
        <s v="Monday"/>
        <s v="Tuesday"/>
        <s v="Wednesday"/>
        <s v="Thursday"/>
        <s v="Friday"/>
        <s v="Saturday"/>
        <s v="Sunday"/>
      </sharedItems>
    </cacheField>
    <cacheField name="Sales" numFmtId="0">
      <sharedItems containsSemiMixedTypes="0" containsString="0" containsNumber="1" minValue="20495.11303" maxValue="846678.38820000004"/>
    </cacheField>
    <cacheField name="Cost Of Sales" numFmtId="0">
      <sharedItems containsSemiMixedTypes="0" containsString="0" containsNumber="1" minValue="18375.052609999999" maxValue="872081.58499999996"/>
    </cacheField>
    <cacheField name="Quantity Sold" numFmtId="0">
      <sharedItems containsSemiMixedTypes="0" containsString="0" containsNumber="1" containsInteger="1" minValue="508" maxValue="26410"/>
    </cacheField>
    <cacheField name="daily_sales_price_per_ unit" numFmtId="2">
      <sharedItems containsSemiMixedTypes="0" containsString="0" containsNumber="1" minValue="30.702370086979268" maxValue="43.805996534316506"/>
    </cacheField>
    <cacheField name="price flag" numFmtId="2">
      <sharedItems count="3">
        <s v="Low"/>
        <s v="Medium"/>
        <s v="High"/>
      </sharedItems>
    </cacheField>
    <cacheField name="daily % gross profit" numFmtId="0">
      <sharedItems containsSemiMixedTypes="0" containsString="0" containsNumber="1" minValue="-14.857562030558357" maxValue="14.415691833706257"/>
    </cacheField>
    <cacheField name="cost_per_unit" numFmtId="0">
      <sharedItems containsSemiMixedTypes="0" containsString="0" containsNumber="1" minValue="32.758257233317096" maxValue="42.066406614349773"/>
    </cacheField>
    <cacheField name="% gross profit per unit" numFmtId="0">
      <sharedItems containsSemiMixedTypes="0" containsString="0" containsNumber="1" minValue="-14.857562030558341" maxValue="14.4156918337062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3-12-30T00:00:00"/>
    <x v="0"/>
    <x v="0"/>
    <x v="0"/>
    <n v="223937.96789999999"/>
    <n v="230079.62100000001"/>
    <n v="6827"/>
    <n v="32.801811615643764"/>
    <x v="0"/>
    <n v="-2.7425689165593368"/>
    <n v="33.701423905082763"/>
    <n v="-2.7425689165593443"/>
  </r>
  <r>
    <d v="2013-12-31T00:00:00"/>
    <x v="0"/>
    <x v="0"/>
    <x v="1"/>
    <n v="300345.48460000003"/>
    <n v="306986.12050000002"/>
    <n v="9268"/>
    <n v="32.40672039274925"/>
    <x v="0"/>
    <n v="-2.2109990795579928"/>
    <n v="33.123232682347869"/>
    <n v="-2.2109990795579941"/>
  </r>
  <r>
    <d v="2014-01-01T00:00:00"/>
    <x v="1"/>
    <x v="1"/>
    <x v="2"/>
    <n v="86782.467730000004"/>
    <n v="87986.318209999998"/>
    <n v="2678"/>
    <n v="32.405701168782677"/>
    <x v="0"/>
    <n v="-1.3872047102249343"/>
    <n v="32.855234581777445"/>
    <n v="-1.3872047102249283"/>
  </r>
  <r>
    <d v="2014-01-02T00:00:00"/>
    <x v="1"/>
    <x v="1"/>
    <x v="3"/>
    <n v="200173.11679999999"/>
    <n v="202881.1777"/>
    <n v="6175"/>
    <n v="32.416699076923074"/>
    <x v="0"/>
    <n v="-1.3528594365175073"/>
    <n v="32.855251449392711"/>
    <n v="-1.3528594365175057"/>
  </r>
  <r>
    <d v="2014-01-03T00:00:00"/>
    <x v="1"/>
    <x v="1"/>
    <x v="4"/>
    <n v="326906.07419999997"/>
    <n v="333806.29190000001"/>
    <n v="10084"/>
    <n v="32.418293752479173"/>
    <x v="0"/>
    <n v="-2.1107646032231595"/>
    <n v="33.10256762197541"/>
    <n v="-2.1107646032231675"/>
  </r>
  <r>
    <d v="2014-01-04T00:00:00"/>
    <x v="1"/>
    <x v="1"/>
    <x v="5"/>
    <n v="307043.93540000002"/>
    <n v="313652.34830000001"/>
    <n v="9470"/>
    <n v="32.422802048574447"/>
    <x v="0"/>
    <n v="-2.1522694761552339"/>
    <n v="33.120628120380147"/>
    <n v="-2.152269476155229"/>
  </r>
  <r>
    <d v="2014-01-05T00:00:00"/>
    <x v="1"/>
    <x v="1"/>
    <x v="6"/>
    <n v="179188.88449999999"/>
    <n v="183083.285"/>
    <n v="5524"/>
    <n v="32.438248461259953"/>
    <x v="0"/>
    <n v="-2.1733493742464915"/>
    <n v="33.143244931209267"/>
    <n v="-2.1733493742464893"/>
  </r>
  <r>
    <d v="2014-01-06T00:00:00"/>
    <x v="1"/>
    <x v="1"/>
    <x v="0"/>
    <n v="306351.9509"/>
    <n v="313446.06809999997"/>
    <n v="9448"/>
    <n v="32.42505830863675"/>
    <x v="0"/>
    <n v="-2.3156755421856787"/>
    <n v="33.175917453429292"/>
    <n v="-2.3156755421856667"/>
  </r>
  <r>
    <d v="2014-01-07T00:00:00"/>
    <x v="1"/>
    <x v="1"/>
    <x v="1"/>
    <n v="224020.41"/>
    <n v="229533.9737"/>
    <n v="6911"/>
    <n v="32.415049920416728"/>
    <x v="0"/>
    <n v="-2.4611881122795904"/>
    <n v="33.212845275647517"/>
    <n v="-2.4611881122795847"/>
  </r>
  <r>
    <d v="2014-01-08T00:00:00"/>
    <x v="1"/>
    <x v="1"/>
    <x v="2"/>
    <n v="101836.4022"/>
    <n v="99381.967520000006"/>
    <n v="2990"/>
    <n v="34.058997391304345"/>
    <x v="0"/>
    <n v="2.4101741881843419"/>
    <n v="33.238116227424754"/>
    <n v="2.4101741881843273"/>
  </r>
  <r>
    <d v="2014-01-09T00:00:00"/>
    <x v="1"/>
    <x v="1"/>
    <x v="3"/>
    <n v="107804.3049"/>
    <n v="104816.45849999999"/>
    <n v="3159"/>
    <n v="34.126085754985759"/>
    <x v="0"/>
    <n v="2.7715464635401674"/>
    <n v="33.180265432098764"/>
    <n v="2.7715464635401736"/>
  </r>
  <r>
    <d v="2014-01-10T00:00:00"/>
    <x v="1"/>
    <x v="1"/>
    <x v="4"/>
    <n v="144829.95670000001"/>
    <n v="141333.9963"/>
    <n v="4246"/>
    <n v="34.10974015544042"/>
    <x v="0"/>
    <n v="2.4138379100958542"/>
    <n v="33.286386316533211"/>
    <n v="2.4138379100958547"/>
  </r>
  <r>
    <d v="2014-01-11T00:00:00"/>
    <x v="1"/>
    <x v="1"/>
    <x v="5"/>
    <n v="146571.48240000001"/>
    <n v="143179.67000000001"/>
    <n v="4297"/>
    <n v="34.110189062136378"/>
    <x v="0"/>
    <n v="2.3141011774334044"/>
    <n v="33.320844775424717"/>
    <n v="2.314101177433411"/>
  </r>
  <r>
    <d v="2014-01-12T00:00:00"/>
    <x v="1"/>
    <x v="1"/>
    <x v="6"/>
    <n v="95422.37298"/>
    <n v="93126.147240000006"/>
    <n v="2796"/>
    <n v="34.12817345493562"/>
    <x v="0"/>
    <n v="2.406380881432566"/>
    <n v="33.306919613733911"/>
    <n v="2.4063808814325509"/>
  </r>
  <r>
    <d v="2014-01-13T00:00:00"/>
    <x v="1"/>
    <x v="1"/>
    <x v="0"/>
    <n v="114883.1738"/>
    <n v="112186.30869999999"/>
    <n v="3369"/>
    <n v="34.100081270406648"/>
    <x v="0"/>
    <n v="2.3474848498658121"/>
    <n v="33.299587028791926"/>
    <n v="2.347484849865801"/>
  </r>
  <r>
    <d v="2014-01-14T00:00:00"/>
    <x v="1"/>
    <x v="1"/>
    <x v="1"/>
    <n v="80090.800080000001"/>
    <n v="78096.760179999997"/>
    <n v="2348"/>
    <n v="34.11022149914821"/>
    <x v="0"/>
    <n v="2.489724035729727"/>
    <n v="33.260971115843269"/>
    <n v="2.4897240357297252"/>
  </r>
  <r>
    <d v="2014-01-15T00:00:00"/>
    <x v="1"/>
    <x v="1"/>
    <x v="2"/>
    <n v="98945.371159999995"/>
    <n v="97159.002590000004"/>
    <n v="2903"/>
    <n v="34.083834364450567"/>
    <x v="0"/>
    <n v="1.8054089332904084"/>
    <n v="33.46848177402687"/>
    <n v="1.80540893329041"/>
  </r>
  <r>
    <d v="2014-01-16T00:00:00"/>
    <x v="1"/>
    <x v="1"/>
    <x v="3"/>
    <n v="84904.901710000006"/>
    <n v="83350.43316"/>
    <n v="2491"/>
    <n v="34.084665479727022"/>
    <x v="0"/>
    <n v="1.8308348737148605"/>
    <n v="33.460631537535129"/>
    <n v="1.8308348737148614"/>
  </r>
  <r>
    <d v="2014-01-17T00:00:00"/>
    <x v="1"/>
    <x v="1"/>
    <x v="4"/>
    <n v="135460.61970000001"/>
    <n v="132703.33540000001"/>
    <n v="3968"/>
    <n v="34.138261013104838"/>
    <x v="0"/>
    <n v="2.0354877351856668"/>
    <n v="33.44338089717742"/>
    <n v="2.0354877351856642"/>
  </r>
  <r>
    <d v="2014-01-18T00:00:00"/>
    <x v="1"/>
    <x v="1"/>
    <x v="5"/>
    <n v="149925.74969999999"/>
    <n v="146928.4118"/>
    <n v="4393"/>
    <n v="34.128329091736852"/>
    <x v="0"/>
    <n v="1.9992148820316917"/>
    <n v="33.446030457546094"/>
    <n v="1.9992148820317019"/>
  </r>
  <r>
    <d v="2014-01-19T00:00:00"/>
    <x v="1"/>
    <x v="1"/>
    <x v="6"/>
    <n v="74297.307180000003"/>
    <n v="72782.284320000006"/>
    <n v="2176"/>
    <n v="34.143983079044119"/>
    <x v="0"/>
    <n v="2.0391356261803044"/>
    <n v="33.447740955882352"/>
    <n v="2.0391356261803142"/>
  </r>
  <r>
    <d v="2014-01-20T00:00:00"/>
    <x v="1"/>
    <x v="1"/>
    <x v="0"/>
    <n v="83356.424559999999"/>
    <n v="81789.136119999996"/>
    <n v="2443"/>
    <n v="34.12051762586983"/>
    <x v="0"/>
    <n v="1.8802251275447508"/>
    <n v="33.47897507981989"/>
    <n v="1.8802251275447521"/>
  </r>
  <r>
    <d v="2014-01-21T00:00:00"/>
    <x v="1"/>
    <x v="1"/>
    <x v="1"/>
    <n v="89922.014290000006"/>
    <n v="88388.916070000007"/>
    <n v="2638"/>
    <n v="34.087192680060653"/>
    <x v="0"/>
    <n v="1.7049197931173254"/>
    <n v="33.506033385140263"/>
    <n v="1.7049197931173126"/>
  </r>
  <r>
    <d v="2014-01-22T00:00:00"/>
    <x v="1"/>
    <x v="1"/>
    <x v="2"/>
    <n v="57806.302779999998"/>
    <n v="57157.28254"/>
    <n v="1704"/>
    <n v="33.923886607981217"/>
    <x v="0"/>
    <n v="1.1227499576820332"/>
    <n v="33.543006185446011"/>
    <n v="1.1227499576820221"/>
  </r>
  <r>
    <d v="2014-01-23T00:00:00"/>
    <x v="1"/>
    <x v="1"/>
    <x v="3"/>
    <n v="63977.750350000002"/>
    <n v="62863.987240000002"/>
    <n v="1872"/>
    <n v="34.17614869123932"/>
    <x v="0"/>
    <n v="1.7408600707386388"/>
    <n v="33.581189764957266"/>
    <n v="1.7408600707386466"/>
  </r>
  <r>
    <d v="2014-01-24T00:00:00"/>
    <x v="1"/>
    <x v="1"/>
    <x v="4"/>
    <n v="116958.79979999999"/>
    <n v="114823.79519999999"/>
    <n v="3423"/>
    <n v="34.168507099035935"/>
    <x v="0"/>
    <n v="1.8254330616002099"/>
    <n v="33.544783873794913"/>
    <n v="1.8254330616002261"/>
  </r>
  <r>
    <d v="2014-01-25T00:00:00"/>
    <x v="1"/>
    <x v="1"/>
    <x v="5"/>
    <n v="155272.8248"/>
    <n v="152636.27660000001"/>
    <n v="4544"/>
    <n v="34.17095616197183"/>
    <x v="0"/>
    <n v="1.6980100693060811"/>
    <n v="33.590729885563384"/>
    <n v="1.6980100693060738"/>
  </r>
  <r>
    <d v="2014-01-26T00:00:00"/>
    <x v="1"/>
    <x v="1"/>
    <x v="6"/>
    <n v="82885.215909999999"/>
    <n v="81583.166949999999"/>
    <n v="2426"/>
    <n v="34.165381661170649"/>
    <x v="0"/>
    <n v="1.5709061570326552"/>
    <n v="33.628675577081616"/>
    <n v="1.5709061570326488"/>
  </r>
  <r>
    <d v="2014-01-27T00:00:00"/>
    <x v="1"/>
    <x v="1"/>
    <x v="0"/>
    <n v="72353.425879999995"/>
    <n v="71377.156459999998"/>
    <n v="2117"/>
    <n v="34.177338630136987"/>
    <x v="0"/>
    <n v="1.3493064193244486"/>
    <n v="33.716181606046291"/>
    <n v="1.3493064193244566"/>
  </r>
  <r>
    <d v="2014-01-28T00:00:00"/>
    <x v="1"/>
    <x v="1"/>
    <x v="1"/>
    <n v="50415.903760000001"/>
    <n v="49769.098239999999"/>
    <n v="1476"/>
    <n v="34.157116368563685"/>
    <x v="0"/>
    <n v="1.2829394531516412"/>
    <n v="33.718901246612468"/>
    <n v="1.2829394531516296"/>
  </r>
  <r>
    <d v="2014-01-29T00:00:00"/>
    <x v="1"/>
    <x v="1"/>
    <x v="2"/>
    <n v="67458.301890000002"/>
    <n v="66529.441999999995"/>
    <n v="1974"/>
    <n v="34.173405212765957"/>
    <x v="0"/>
    <n v="1.3769393298909898"/>
    <n v="33.70285815602837"/>
    <n v="1.3769393298909745"/>
  </r>
  <r>
    <d v="2014-01-30T00:00:00"/>
    <x v="1"/>
    <x v="1"/>
    <x v="3"/>
    <n v="64640.369310000002"/>
    <n v="63757.839870000003"/>
    <n v="1892"/>
    <n v="34.165100058139537"/>
    <x v="0"/>
    <n v="1.3652914570577326"/>
    <n v="33.698646865750533"/>
    <n v="1.3652914570577277"/>
  </r>
  <r>
    <d v="2014-01-31T00:00:00"/>
    <x v="1"/>
    <x v="1"/>
    <x v="4"/>
    <n v="137693.87349999999"/>
    <n v="135609.50760000001"/>
    <n v="4030"/>
    <n v="34.167214267990069"/>
    <x v="0"/>
    <n v="1.5137680762535708"/>
    <n v="33.650001885856085"/>
    <n v="1.5137680762535561"/>
  </r>
  <r>
    <d v="2014-02-01T00:00:00"/>
    <x v="2"/>
    <x v="1"/>
    <x v="5"/>
    <n v="181209.12849999999"/>
    <n v="178435.71530000001"/>
    <n v="5304"/>
    <n v="34.164616987179485"/>
    <x v="0"/>
    <n v="1.5305041324118398"/>
    <n v="33.641726112368026"/>
    <n v="1.5305041324118389"/>
  </r>
  <r>
    <d v="2014-02-02T00:00:00"/>
    <x v="2"/>
    <x v="1"/>
    <x v="6"/>
    <n v="113433.58100000001"/>
    <n v="111466.5168"/>
    <n v="3320"/>
    <n v="34.166741265060246"/>
    <x v="0"/>
    <n v="1.7341109948737383"/>
    <n v="33.574252048192768"/>
    <n v="1.734110994873753"/>
  </r>
  <r>
    <d v="2014-02-03T00:00:00"/>
    <x v="2"/>
    <x v="1"/>
    <x v="0"/>
    <n v="143192.53339999999"/>
    <n v="140505.6347"/>
    <n v="4191"/>
    <n v="34.166674636125023"/>
    <x v="0"/>
    <n v="1.8764237465471023"/>
    <n v="33.525563039847292"/>
    <n v="1.8764237465470905"/>
  </r>
  <r>
    <d v="2014-02-04T00:00:00"/>
    <x v="2"/>
    <x v="1"/>
    <x v="1"/>
    <n v="130126.6499"/>
    <n v="128496.2877"/>
    <n v="3809"/>
    <n v="34.16294300341297"/>
    <x v="0"/>
    <n v="1.2529041524183611"/>
    <n v="33.734914071934888"/>
    <n v="1.2529041524183686"/>
  </r>
  <r>
    <d v="2014-02-05T00:00:00"/>
    <x v="2"/>
    <x v="1"/>
    <x v="2"/>
    <n v="187155.86850000001"/>
    <n v="195078.60329999999"/>
    <n v="5764"/>
    <n v="32.469789816099933"/>
    <x v="0"/>
    <n v="-4.2332280913755991"/>
    <n v="33.844310079805688"/>
    <n v="-4.2332280913755955"/>
  </r>
  <r>
    <d v="2014-02-06T00:00:00"/>
    <x v="2"/>
    <x v="1"/>
    <x v="3"/>
    <n v="102314.7096"/>
    <n v="101977.99"/>
    <n v="3028"/>
    <n v="33.789534214002643"/>
    <x v="0"/>
    <n v="0.32910184793213421"/>
    <n v="33.6783322324967"/>
    <n v="0.32910184793213182"/>
  </r>
  <r>
    <d v="2014-02-07T00:00:00"/>
    <x v="2"/>
    <x v="1"/>
    <x v="4"/>
    <n v="301553.84259999997"/>
    <n v="313529.18770000001"/>
    <n v="9284"/>
    <n v="32.481025700129251"/>
    <x v="0"/>
    <n v="-3.9712129007372283"/>
    <n v="33.770916383024563"/>
    <n v="-3.9712129007372412"/>
  </r>
  <r>
    <d v="2014-02-08T00:00:00"/>
    <x v="2"/>
    <x v="1"/>
    <x v="5"/>
    <n v="316073.17749999999"/>
    <n v="329754.7795"/>
    <n v="9737"/>
    <n v="32.461043185786174"/>
    <x v="0"/>
    <n v="-4.3286184889889983"/>
    <n v="33.866157902844819"/>
    <n v="-4.3286184889890018"/>
  </r>
  <r>
    <d v="2014-02-09T00:00:00"/>
    <x v="2"/>
    <x v="1"/>
    <x v="6"/>
    <n v="135178.04259999999"/>
    <n v="141530.70869999999"/>
    <n v="4163"/>
    <n v="32.471304972375684"/>
    <x v="0"/>
    <n v="-4.6994807572394919"/>
    <n v="33.997287701177036"/>
    <n v="-4.6994807572395132"/>
  </r>
  <r>
    <d v="2014-02-10T00:00:00"/>
    <x v="2"/>
    <x v="1"/>
    <x v="0"/>
    <n v="147727.51620000001"/>
    <n v="154828.68460000001"/>
    <n v="4552"/>
    <n v="32.453320782073817"/>
    <x v="0"/>
    <n v="-4.8069368406533828"/>
    <n v="34.013331414762746"/>
    <n v="-4.806936840653389"/>
  </r>
  <r>
    <d v="2014-02-11T00:00:00"/>
    <x v="2"/>
    <x v="1"/>
    <x v="1"/>
    <n v="135498.7464"/>
    <n v="139824.16159999999"/>
    <n v="4172"/>
    <n v="32.478127133269417"/>
    <x v="0"/>
    <n v="-3.1922178727994401"/>
    <n v="33.51489971236817"/>
    <n v="-3.1922178727994446"/>
  </r>
  <r>
    <d v="2014-02-12T00:00:00"/>
    <x v="2"/>
    <x v="1"/>
    <x v="2"/>
    <n v="163432.84520000001"/>
    <n v="166893.3689"/>
    <n v="5037"/>
    <n v="32.446465197538217"/>
    <x v="0"/>
    <n v="-2.1173979415001889"/>
    <n v="33.133485983720469"/>
    <n v="-2.1173979415001973"/>
  </r>
  <r>
    <d v="2014-02-13T00:00:00"/>
    <x v="2"/>
    <x v="1"/>
    <x v="3"/>
    <n v="138291.63329999999"/>
    <n v="141027.4345"/>
    <n v="4259"/>
    <n v="32.470446888941062"/>
    <x v="0"/>
    <n v="-1.9782839602922069"/>
    <n v="33.112804531580181"/>
    <n v="-1.9782839602922018"/>
  </r>
  <r>
    <d v="2014-02-14T00:00:00"/>
    <x v="2"/>
    <x v="1"/>
    <x v="4"/>
    <n v="336901.37170000002"/>
    <n v="343519.87550000002"/>
    <n v="10381"/>
    <n v="32.453652991041331"/>
    <x v="0"/>
    <n v="-1.9645226632955277"/>
    <n v="33.09121235911762"/>
    <n v="-1.9645226632955128"/>
  </r>
  <r>
    <d v="2014-02-15T00:00:00"/>
    <x v="2"/>
    <x v="1"/>
    <x v="5"/>
    <n v="367729.26819999999"/>
    <n v="373973.59330000001"/>
    <n v="11332"/>
    <n v="32.450517843275676"/>
    <x v="0"/>
    <n v="-1.6980767211066439"/>
    <n v="33.001552532650898"/>
    <n v="-1.6980767211066419"/>
  </r>
  <r>
    <d v="2014-02-16T00:00:00"/>
    <x v="2"/>
    <x v="1"/>
    <x v="6"/>
    <n v="133913.8414"/>
    <n v="136797.07740000001"/>
    <n v="4127"/>
    <n v="32.448229076811245"/>
    <x v="0"/>
    <n v="-2.1530530151754759"/>
    <n v="33.146856651320576"/>
    <n v="-2.1530530151754785"/>
  </r>
  <r>
    <d v="2014-02-17T00:00:00"/>
    <x v="2"/>
    <x v="1"/>
    <x v="0"/>
    <n v="150800.34700000001"/>
    <n v="152887.10639999999"/>
    <n v="4649"/>
    <n v="32.437157883415793"/>
    <x v="0"/>
    <n v="-1.3837895213861682"/>
    <n v="32.886019875241985"/>
    <n v="-1.383789521386158"/>
  </r>
  <r>
    <d v="2014-02-18T00:00:00"/>
    <x v="2"/>
    <x v="1"/>
    <x v="1"/>
    <n v="55591.930339999999"/>
    <n v="53463.244209999997"/>
    <n v="1627"/>
    <n v="34.168365298094649"/>
    <x v="0"/>
    <n v="3.8291279273465895"/>
    <n v="32.86001488014751"/>
    <n v="3.8291279273465784"/>
  </r>
  <r>
    <d v="2014-02-19T00:00:00"/>
    <x v="2"/>
    <x v="1"/>
    <x v="2"/>
    <n v="106427.1918"/>
    <n v="107736.44409999999"/>
    <n v="3281"/>
    <n v="32.43742511429442"/>
    <x v="0"/>
    <n v="-1.2301858931506571"/>
    <n v="32.83646574215178"/>
    <n v="-1.2301858931506626"/>
  </r>
  <r>
    <d v="2014-02-20T00:00:00"/>
    <x v="2"/>
    <x v="1"/>
    <x v="3"/>
    <n v="78940.55442"/>
    <n v="75934.394820000001"/>
    <n v="2310"/>
    <n v="34.173400181818181"/>
    <x v="0"/>
    <n v="3.8081308423625324"/>
    <n v="32.872032389610389"/>
    <n v="3.8081308423625324"/>
  </r>
  <r>
    <d v="2014-02-21T00:00:00"/>
    <x v="2"/>
    <x v="1"/>
    <x v="4"/>
    <n v="317916.31790000002"/>
    <n v="322089.78899999999"/>
    <n v="9802"/>
    <n v="32.433821454805141"/>
    <x v="0"/>
    <n v="-1.3127577494505092"/>
    <n v="32.859598959396038"/>
    <n v="-1.3127577494505116"/>
  </r>
  <r>
    <d v="2014-02-22T00:00:00"/>
    <x v="2"/>
    <x v="1"/>
    <x v="5"/>
    <n v="309217.87560000003"/>
    <n v="320116.92430000001"/>
    <n v="9772"/>
    <n v="31.643253745395008"/>
    <x v="0"/>
    <n v="-3.5247149534455904"/>
    <n v="32.758588241915682"/>
    <n v="-3.5247149534456046"/>
  </r>
  <r>
    <d v="2014-02-23T00:00:00"/>
    <x v="2"/>
    <x v="1"/>
    <x v="6"/>
    <n v="138491.54999999999"/>
    <n v="140752.60159999999"/>
    <n v="4270"/>
    <n v="32.433618266978918"/>
    <x v="0"/>
    <n v="-1.6326278390270066"/>
    <n v="32.963138548009368"/>
    <n v="-1.6326278390270184"/>
  </r>
  <r>
    <d v="2014-02-24T00:00:00"/>
    <x v="2"/>
    <x v="1"/>
    <x v="0"/>
    <n v="133146.22219999999"/>
    <n v="134505.40419999999"/>
    <n v="4106"/>
    <n v="32.427233852898198"/>
    <x v="0"/>
    <n v="-1.0208190495697"/>
    <n v="32.758257233317096"/>
    <n v="-1.0208190495696963"/>
  </r>
  <r>
    <d v="2014-02-25T00:00:00"/>
    <x v="2"/>
    <x v="1"/>
    <x v="1"/>
    <n v="224994.6562"/>
    <n v="227546.4466"/>
    <n v="6937"/>
    <n v="32.433999740521841"/>
    <x v="0"/>
    <n v="-1.1341560031237747"/>
    <n v="32.801851895632119"/>
    <n v="-1.1341560031237736"/>
  </r>
  <r>
    <d v="2014-02-26T00:00:00"/>
    <x v="2"/>
    <x v="1"/>
    <x v="2"/>
    <n v="225051.59150000001"/>
    <n v="228214.1421"/>
    <n v="6934"/>
    <n v="32.456243366022498"/>
    <x v="0"/>
    <n v="-1.4052558255292267"/>
    <n v="32.912336616671475"/>
    <n v="-1.4052558255292329"/>
  </r>
  <r>
    <d v="2014-02-27T00:00:00"/>
    <x v="2"/>
    <x v="1"/>
    <x v="3"/>
    <n v="344299.68239999999"/>
    <n v="365935.65299999999"/>
    <n v="11082"/>
    <n v="31.0683705468327"/>
    <x v="0"/>
    <n v="-6.284051861210779"/>
    <n v="33.0207230644288"/>
    <n v="-6.2840518612107754"/>
  </r>
  <r>
    <d v="2014-02-28T00:00:00"/>
    <x v="2"/>
    <x v="1"/>
    <x v="4"/>
    <n v="661876.5"/>
    <n v="686656.79099999997"/>
    <n v="20805"/>
    <n v="31.813338139870222"/>
    <x v="0"/>
    <n v="-3.7439448295867837"/>
    <n v="33.004411968276855"/>
    <n v="-3.7439448295867899"/>
  </r>
  <r>
    <d v="2014-03-01T00:00:00"/>
    <x v="3"/>
    <x v="1"/>
    <x v="5"/>
    <n v="846678.38820000004"/>
    <n v="872081.58499999996"/>
    <n v="26410"/>
    <n v="32.05900750473306"/>
    <x v="0"/>
    <n v="-3.0003360371588039"/>
    <n v="33.020885460053009"/>
    <n v="-3.0003360371587959"/>
  </r>
  <r>
    <d v="2014-03-02T00:00:00"/>
    <x v="3"/>
    <x v="1"/>
    <x v="6"/>
    <n v="478902.30489999999"/>
    <n v="495554.44990000001"/>
    <n v="15004"/>
    <n v="31.918308777659291"/>
    <x v="0"/>
    <n v="-3.4771486438089223"/>
    <n v="33.028155818448411"/>
    <n v="-3.4771486438089081"/>
  </r>
  <r>
    <d v="2014-03-03T00:00:00"/>
    <x v="3"/>
    <x v="1"/>
    <x v="0"/>
    <n v="538827.20209999999"/>
    <n v="557567.13699999999"/>
    <n v="16884"/>
    <n v="31.913480342335941"/>
    <x v="0"/>
    <n v="-3.477911810495804"/>
    <n v="33.023403044302299"/>
    <n v="-3.4779118104958027"/>
  </r>
  <r>
    <d v="2014-03-04T00:00:00"/>
    <x v="3"/>
    <x v="1"/>
    <x v="1"/>
    <n v="310346.1213"/>
    <n v="323325.02990000002"/>
    <n v="9789"/>
    <n v="31.703557186638061"/>
    <x v="0"/>
    <n v="-4.1820753375724644"/>
    <n v="33.029423832873633"/>
    <n v="-4.1820753375724591"/>
  </r>
  <r>
    <d v="2014-03-05T00:00:00"/>
    <x v="3"/>
    <x v="1"/>
    <x v="2"/>
    <n v="256390.52220000001"/>
    <n v="267308.50709999999"/>
    <n v="8079"/>
    <n v="31.73542792424805"/>
    <x v="0"/>
    <n v="-4.2583418475521091"/>
    <n v="33.086830932046041"/>
    <n v="-4.2583418475521047"/>
  </r>
  <r>
    <d v="2014-03-06T00:00:00"/>
    <x v="3"/>
    <x v="1"/>
    <x v="3"/>
    <n v="167803.65979999999"/>
    <n v="168135.69"/>
    <n v="5072"/>
    <n v="33.084317783911672"/>
    <x v="0"/>
    <n v="-0.19786827080872069"/>
    <n v="33.14978115141956"/>
    <n v="-0.19786827080872163"/>
  </r>
  <r>
    <d v="2014-03-07T00:00:00"/>
    <x v="3"/>
    <x v="1"/>
    <x v="4"/>
    <n v="465318.02149999997"/>
    <n v="483774.59669999999"/>
    <n v="14551"/>
    <n v="31.978422204659473"/>
    <x v="0"/>
    <n v="-3.9664432382187504"/>
    <n v="33.246828169885234"/>
    <n v="-3.966443238218754"/>
  </r>
  <r>
    <d v="2014-03-08T00:00:00"/>
    <x v="3"/>
    <x v="1"/>
    <x v="5"/>
    <n v="520146.74959999998"/>
    <n v="541498.95819999999"/>
    <n v="16262"/>
    <n v="31.985410748985363"/>
    <x v="0"/>
    <n v="-4.1050354763189727"/>
    <n v="33.298423207477555"/>
    <n v="-4.1050354763189763"/>
  </r>
  <r>
    <d v="2014-03-09T00:00:00"/>
    <x v="3"/>
    <x v="1"/>
    <x v="6"/>
    <n v="224699.25279999999"/>
    <n v="233589.98300000001"/>
    <n v="7014"/>
    <n v="32.035821613915026"/>
    <x v="0"/>
    <n v="-3.9567244168423956"/>
    <n v="33.303390789848876"/>
    <n v="-3.9567244168423992"/>
  </r>
  <r>
    <d v="2014-03-10T00:00:00"/>
    <x v="3"/>
    <x v="1"/>
    <x v="0"/>
    <n v="286230.6789"/>
    <n v="297642.89140000002"/>
    <n v="8932"/>
    <n v="32.045530553067621"/>
    <x v="0"/>
    <n v="-3.9870682429492792"/>
    <n v="33.323207725033591"/>
    <n v="-3.9870682429492841"/>
  </r>
  <r>
    <d v="2014-03-11T00:00:00"/>
    <x v="3"/>
    <x v="1"/>
    <x v="1"/>
    <n v="187143.01809999999"/>
    <n v="191499.0428"/>
    <n v="5737"/>
    <n v="32.62036222764511"/>
    <x v="0"/>
    <n v="-2.3276447843073496"/>
    <n v="33.379648387659053"/>
    <n v="-2.3276447843073393"/>
  </r>
  <r>
    <d v="2014-03-12T00:00:00"/>
    <x v="3"/>
    <x v="1"/>
    <x v="2"/>
    <n v="191700.3891"/>
    <n v="197153.424"/>
    <n v="5903"/>
    <n v="32.475078621040147"/>
    <x v="0"/>
    <n v="-2.8445612059532324"/>
    <n v="33.398852109097071"/>
    <n v="-2.8445612059532435"/>
  </r>
  <r>
    <d v="2014-03-13T00:00:00"/>
    <x v="3"/>
    <x v="1"/>
    <x v="3"/>
    <n v="164663.9676"/>
    <n v="168975.174"/>
    <n v="5056"/>
    <n v="32.568031566455694"/>
    <x v="0"/>
    <n v="-2.6181844533667094"/>
    <n v="33.4207227056962"/>
    <n v="-2.6181844533667098"/>
  </r>
  <r>
    <d v="2014-03-14T00:00:00"/>
    <x v="3"/>
    <x v="1"/>
    <x v="4"/>
    <n v="395941.34509999998"/>
    <n v="406765.91399999999"/>
    <n v="12167"/>
    <n v="32.542232686775705"/>
    <x v="0"/>
    <n v="-2.7338819332611326"/>
    <n v="33.431898906879262"/>
    <n v="-2.7338819332611228"/>
  </r>
  <r>
    <d v="2014-03-15T00:00:00"/>
    <x v="3"/>
    <x v="1"/>
    <x v="5"/>
    <n v="518183.21039999998"/>
    <n v="534383.14309999999"/>
    <n v="15971"/>
    <n v="32.44525767954417"/>
    <x v="0"/>
    <n v="-3.1262944022240369"/>
    <n v="33.459591954166925"/>
    <n v="-3.1262944022240391"/>
  </r>
  <r>
    <d v="2014-03-16T00:00:00"/>
    <x v="3"/>
    <x v="1"/>
    <x v="6"/>
    <n v="226617.95490000001"/>
    <n v="233191.10459999999"/>
    <n v="6968"/>
    <n v="32.522668613662461"/>
    <x v="0"/>
    <n v="-2.9005423259161094"/>
    <n v="33.466002382319175"/>
    <n v="-2.9005423259161112"/>
  </r>
  <r>
    <d v="2014-03-17T00:00:00"/>
    <x v="3"/>
    <x v="1"/>
    <x v="0"/>
    <n v="243707.8719"/>
    <n v="250794.2213"/>
    <n v="7494"/>
    <n v="32.520399239391516"/>
    <x v="0"/>
    <n v="-2.9077228177954502"/>
    <n v="33.466002308513481"/>
    <n v="-2.9077228177954506"/>
  </r>
  <r>
    <d v="2014-03-18T00:00:00"/>
    <x v="3"/>
    <x v="1"/>
    <x v="1"/>
    <n v="94849.743799999997"/>
    <n v="90571.588919999995"/>
    <n v="2707"/>
    <n v="35.038693683043959"/>
    <x v="0"/>
    <n v="4.5104548611337441"/>
    <n v="33.458289220539342"/>
    <n v="4.5104548611337414"/>
  </r>
  <r>
    <d v="2014-03-19T00:00:00"/>
    <x v="3"/>
    <x v="1"/>
    <x v="2"/>
    <n v="92386.783070000005"/>
    <n v="88255.840989999997"/>
    <n v="2637"/>
    <n v="35.034805866514979"/>
    <x v="0"/>
    <n v="4.4713561212214286"/>
    <n v="33.468274929844519"/>
    <n v="4.471356121221425"/>
  </r>
  <r>
    <d v="2014-03-20T00:00:00"/>
    <x v="3"/>
    <x v="1"/>
    <x v="3"/>
    <n v="180394.82769999999"/>
    <n v="172344.30439999999"/>
    <n v="5149"/>
    <n v="35.034924781510973"/>
    <x v="0"/>
    <n v="4.4627240163383028"/>
    <n v="33.471412779180419"/>
    <n v="4.4627240163383171"/>
  </r>
  <r>
    <d v="2014-03-21T00:00:00"/>
    <x v="3"/>
    <x v="1"/>
    <x v="4"/>
    <n v="200939.6924"/>
    <n v="192019.14430000001"/>
    <n v="5735"/>
    <n v="35.037435466434175"/>
    <x v="0"/>
    <n v="4.4394156243866059"/>
    <n v="33.481978081952924"/>
    <n v="4.4394156243865996"/>
  </r>
  <r>
    <d v="2014-03-22T00:00:00"/>
    <x v="3"/>
    <x v="1"/>
    <x v="5"/>
    <n v="172953.9247"/>
    <n v="165201.30499999999"/>
    <n v="4936"/>
    <n v="35.039287824149106"/>
    <x v="0"/>
    <n v="4.4824768870943172"/>
    <n v="33.468659846029169"/>
    <n v="4.4824768870943172"/>
  </r>
  <r>
    <d v="2014-03-23T00:00:00"/>
    <x v="3"/>
    <x v="1"/>
    <x v="6"/>
    <n v="70194.799540000007"/>
    <n v="67061.622709999996"/>
    <n v="2003"/>
    <n v="35.044832521218176"/>
    <x v="0"/>
    <n v="4.4635455197996432"/>
    <n v="33.480590469296054"/>
    <n v="4.4635455197996423"/>
  </r>
  <r>
    <d v="2014-03-24T00:00:00"/>
    <x v="3"/>
    <x v="1"/>
    <x v="0"/>
    <n v="81378.214630000002"/>
    <n v="77703.646330000003"/>
    <n v="2323"/>
    <n v="35.031517275075338"/>
    <x v="0"/>
    <n v="4.5154201486319812"/>
    <n v="33.449697085665086"/>
    <n v="4.5154201486319998"/>
  </r>
  <r>
    <d v="2014-03-25T00:00:00"/>
    <x v="3"/>
    <x v="1"/>
    <x v="1"/>
    <n v="130227.0147"/>
    <n v="127394.2892"/>
    <n v="3822"/>
    <n v="34.073002276295135"/>
    <x v="0"/>
    <n v="2.1752210987295255"/>
    <n v="33.331839141810569"/>
    <n v="2.1752210987295335"/>
  </r>
  <r>
    <d v="2014-03-26T00:00:00"/>
    <x v="3"/>
    <x v="1"/>
    <x v="2"/>
    <n v="125310.0364"/>
    <n v="122275.1026"/>
    <n v="3666"/>
    <n v="34.181679323513364"/>
    <x v="0"/>
    <n v="2.421939923720267"/>
    <n v="33.353819585379156"/>
    <n v="2.4219399237202737"/>
  </r>
  <r>
    <d v="2014-03-27T00:00:00"/>
    <x v="3"/>
    <x v="1"/>
    <x v="3"/>
    <n v="119452.33960000001"/>
    <n v="118186.575"/>
    <n v="3543"/>
    <n v="33.715026700536271"/>
    <x v="0"/>
    <n v="1.0596398565641902"/>
    <n v="33.357768839966127"/>
    <n v="1.0596398565641985"/>
  </r>
  <r>
    <d v="2014-03-28T00:00:00"/>
    <x v="3"/>
    <x v="1"/>
    <x v="4"/>
    <n v="276174.76929999999"/>
    <n v="271550.89559999999"/>
    <n v="8130"/>
    <n v="33.96983632226322"/>
    <x v="0"/>
    <n v="1.6742563818265481"/>
    <n v="33.401094169741697"/>
    <n v="1.6742563818265426"/>
  </r>
  <r>
    <d v="2014-03-29T00:00:00"/>
    <x v="3"/>
    <x v="1"/>
    <x v="5"/>
    <n v="357369.26689999999"/>
    <n v="352250.83010000002"/>
    <n v="10518"/>
    <n v="33.976922123977943"/>
    <x v="0"/>
    <n v="1.4322543302057984"/>
    <n v="33.490286185586612"/>
    <n v="1.4322543302058117"/>
  </r>
  <r>
    <d v="2014-03-30T00:00:00"/>
    <x v="3"/>
    <x v="1"/>
    <x v="6"/>
    <n v="163865.4903"/>
    <n v="160525.42689999999"/>
    <n v="4791"/>
    <n v="34.20277401377583"/>
    <x v="0"/>
    <n v="2.0382957960734296"/>
    <n v="33.50562030891254"/>
    <n v="2.038295796073434"/>
  </r>
  <r>
    <d v="2014-03-31T00:00:00"/>
    <x v="3"/>
    <x v="1"/>
    <x v="0"/>
    <n v="190719.6145"/>
    <n v="187072.59520000001"/>
    <n v="5583"/>
    <n v="34.160776374708938"/>
    <x v="0"/>
    <n v="1.9122413337302469"/>
    <n v="33.507539888948592"/>
    <n v="1.9122413337302591"/>
  </r>
  <r>
    <d v="2014-04-01T00:00:00"/>
    <x v="4"/>
    <x v="1"/>
    <x v="1"/>
    <n v="244535.2052"/>
    <n v="239700.68479999999"/>
    <n v="7155"/>
    <n v="34.176828120195665"/>
    <x v="0"/>
    <n v="1.9770242881984867"/>
    <n v="33.501143927323547"/>
    <n v="1.9770242881984872"/>
  </r>
  <r>
    <d v="2014-04-02T00:00:00"/>
    <x v="4"/>
    <x v="1"/>
    <x v="2"/>
    <n v="155620.50380000001"/>
    <n v="153366.01879999999"/>
    <n v="4575"/>
    <n v="34.015410666666668"/>
    <x v="0"/>
    <n v="1.4487069151873644"/>
    <n v="33.522627060109286"/>
    <n v="1.4487069151873673"/>
  </r>
  <r>
    <d v="2014-04-03T00:00:00"/>
    <x v="4"/>
    <x v="1"/>
    <x v="3"/>
    <n v="136001.97820000001"/>
    <n v="134523.0686"/>
    <n v="3997"/>
    <n v="34.026014060545414"/>
    <x v="0"/>
    <n v="1.0874177122814921"/>
    <n v="33.656009156867647"/>
    <n v="1.0874177122815076"/>
  </r>
  <r>
    <d v="2014-04-04T00:00:00"/>
    <x v="4"/>
    <x v="1"/>
    <x v="4"/>
    <n v="190559.88750000001"/>
    <n v="187742.3"/>
    <n v="5558"/>
    <n v="34.285694044620371"/>
    <x v="0"/>
    <n v="1.4785837339455938"/>
    <n v="33.778751349406257"/>
    <n v="1.4785837339456063"/>
  </r>
  <r>
    <d v="2014-04-05T00:00:00"/>
    <x v="4"/>
    <x v="1"/>
    <x v="5"/>
    <n v="217110.5025"/>
    <n v="213540.73420000001"/>
    <n v="6320"/>
    <n v="34.352927610759494"/>
    <x v="0"/>
    <n v="1.6442172344932948"/>
    <n v="33.788090854430379"/>
    <n v="1.6442172344932986"/>
  </r>
  <r>
    <d v="2014-04-06T00:00:00"/>
    <x v="4"/>
    <x v="1"/>
    <x v="6"/>
    <n v="119190.1"/>
    <n v="116856.3146"/>
    <n v="3447"/>
    <n v="34.577922831447637"/>
    <x v="0"/>
    <n v="1.9580362798588202"/>
    <n v="33.900874557586306"/>
    <n v="1.9580362798588207"/>
  </r>
  <r>
    <d v="2014-04-07T00:00:00"/>
    <x v="4"/>
    <x v="1"/>
    <x v="0"/>
    <n v="131910.19750000001"/>
    <n v="130784.44469999999"/>
    <n v="3854"/>
    <n v="34.226828619615986"/>
    <x v="0"/>
    <n v="0.85342363315013336"/>
    <n v="33.934728775298389"/>
    <n v="0.8534236331501367"/>
  </r>
  <r>
    <d v="2014-04-08T00:00:00"/>
    <x v="4"/>
    <x v="1"/>
    <x v="1"/>
    <n v="118921.3077"/>
    <n v="115305.8052"/>
    <n v="3394"/>
    <n v="35.038688185032413"/>
    <x v="0"/>
    <n v="3.0402478495449659"/>
    <n v="33.9734252209782"/>
    <n v="3.0402478495449632"/>
  </r>
  <r>
    <d v="2014-04-09T00:00:00"/>
    <x v="4"/>
    <x v="1"/>
    <x v="2"/>
    <n v="124828.2828"/>
    <n v="121264.7031"/>
    <n v="3563"/>
    <n v="35.034600841987093"/>
    <x v="0"/>
    <n v="2.8547854861622772"/>
    <n v="34.034438142015155"/>
    <n v="2.8547854861622866"/>
  </r>
  <r>
    <d v="2014-04-10T00:00:00"/>
    <x v="4"/>
    <x v="1"/>
    <x v="3"/>
    <n v="179326.4902"/>
    <n v="183278.5024"/>
    <n v="5380"/>
    <n v="33.332061375464683"/>
    <x v="0"/>
    <n v="-2.2038083696348378"/>
    <n v="34.066636133828993"/>
    <n v="-2.2038083696348338"/>
  </r>
  <r>
    <d v="2014-04-11T00:00:00"/>
    <x v="4"/>
    <x v="1"/>
    <x v="4"/>
    <n v="318949.81709999999"/>
    <n v="326322.52600000001"/>
    <n v="9573"/>
    <n v="33.317645158257598"/>
    <x v="0"/>
    <n v="-2.3115576509919959"/>
    <n v="34.087801734043666"/>
    <n v="-2.3115576509919959"/>
  </r>
  <r>
    <d v="2014-04-12T00:00:00"/>
    <x v="4"/>
    <x v="1"/>
    <x v="5"/>
    <n v="375031.10930000001"/>
    <n v="383727.19400000002"/>
    <n v="11250"/>
    <n v="33.336098604444445"/>
    <x v="0"/>
    <n v="-2.3187635597034473"/>
    <n v="34.109083911111114"/>
    <n v="-2.318763559703453"/>
  </r>
  <r>
    <d v="2014-04-13T00:00:00"/>
    <x v="4"/>
    <x v="1"/>
    <x v="6"/>
    <n v="166393.54070000001"/>
    <n v="170061.86410000001"/>
    <n v="4990"/>
    <n v="33.345398937875757"/>
    <x v="0"/>
    <n v="-2.2046068522658664"/>
    <n v="34.080533887775552"/>
    <n v="-2.2046068522658557"/>
  </r>
  <r>
    <d v="2014-04-14T00:00:00"/>
    <x v="4"/>
    <x v="1"/>
    <x v="0"/>
    <n v="193652.3278"/>
    <n v="198212.0687"/>
    <n v="5810"/>
    <n v="33.330865370051633"/>
    <x v="0"/>
    <n v="-2.3546016470864255"/>
    <n v="34.115674475043029"/>
    <n v="-2.3546016470864295"/>
  </r>
  <r>
    <d v="2014-04-15T00:00:00"/>
    <x v="4"/>
    <x v="1"/>
    <x v="1"/>
    <n v="249805.5172"/>
    <n v="255956.65400000001"/>
    <n v="7497"/>
    <n v="33.32073058556756"/>
    <x v="0"/>
    <n v="-2.4623702746626157"/>
    <n v="34.141210350806993"/>
    <n v="-2.4623702746626255"/>
  </r>
  <r>
    <d v="2014-04-16T00:00:00"/>
    <x v="4"/>
    <x v="1"/>
    <x v="2"/>
    <n v="294023.41090000002"/>
    <n v="301522.35230000003"/>
    <n v="8821"/>
    <n v="33.332208468427616"/>
    <x v="0"/>
    <n v="-2.5504572500012483"/>
    <n v="34.182332195896159"/>
    <n v="-2.5504572500012488"/>
  </r>
  <r>
    <d v="2014-04-17T00:00:00"/>
    <x v="4"/>
    <x v="1"/>
    <x v="3"/>
    <n v="612236.00580000004"/>
    <n v="627927.75870000001"/>
    <n v="18366"/>
    <n v="33.335293792878147"/>
    <x v="0"/>
    <n v="-2.5630235319949493"/>
    <n v="34.189685217249263"/>
    <n v="-2.5630235319949404"/>
  </r>
  <r>
    <d v="2014-04-18T00:00:00"/>
    <x v="4"/>
    <x v="1"/>
    <x v="4"/>
    <n v="464815.51789999998"/>
    <n v="476692.54369999998"/>
    <n v="13940"/>
    <n v="33.344011327116213"/>
    <x v="0"/>
    <n v="-2.5552128409265409"/>
    <n v="34.196021786226687"/>
    <n v="-2.5552128409265418"/>
  </r>
  <r>
    <d v="2014-04-19T00:00:00"/>
    <x v="4"/>
    <x v="1"/>
    <x v="5"/>
    <n v="360480.94040000002"/>
    <n v="369765.6128"/>
    <n v="10814"/>
    <n v="33.334653264287034"/>
    <x v="0"/>
    <n v="-2.5756347588578308"/>
    <n v="34.193232180506747"/>
    <n v="-2.5756347588578299"/>
  </r>
  <r>
    <d v="2014-04-20T00:00:00"/>
    <x v="4"/>
    <x v="1"/>
    <x v="6"/>
    <n v="114279.5773"/>
    <n v="117190.8262"/>
    <n v="3429"/>
    <n v="33.327377456984543"/>
    <x v="0"/>
    <n v="-2.5474795836508499"/>
    <n v="34.176385593467479"/>
    <n v="-2.5474795836508481"/>
  </r>
  <r>
    <d v="2014-04-21T00:00:00"/>
    <x v="4"/>
    <x v="1"/>
    <x v="0"/>
    <n v="161170.8204"/>
    <n v="165415.08379999999"/>
    <n v="4834"/>
    <n v="33.341088208522962"/>
    <x v="0"/>
    <n v="-2.6333944255333681"/>
    <n v="34.219090566818366"/>
    <n v="-2.633394425533361"/>
  </r>
  <r>
    <d v="2014-04-22T00:00:00"/>
    <x v="4"/>
    <x v="1"/>
    <x v="1"/>
    <n v="182483.1465"/>
    <n v="187344.7372"/>
    <n v="5475"/>
    <n v="33.330255068493152"/>
    <x v="0"/>
    <n v="-2.6641313421236963"/>
    <n v="34.218216840182649"/>
    <n v="-2.6641313421236932"/>
  </r>
  <r>
    <d v="2014-04-23T00:00:00"/>
    <x v="4"/>
    <x v="1"/>
    <x v="2"/>
    <n v="109358.41250000001"/>
    <n v="106849.8988"/>
    <n v="3121"/>
    <n v="35.039542614546619"/>
    <x v="0"/>
    <n v="2.293846118148442"/>
    <n v="34.235789426465878"/>
    <n v="2.2938461181484247"/>
  </r>
  <r>
    <d v="2014-04-24T00:00:00"/>
    <x v="4"/>
    <x v="1"/>
    <x v="3"/>
    <n v="98430.114109999995"/>
    <n v="96197.482229999994"/>
    <n v="2809"/>
    <n v="35.040980459238163"/>
    <x v="0"/>
    <n v="2.2682406702332338"/>
    <n v="34.24616668921324"/>
    <n v="2.2682406702332427"/>
  </r>
  <r>
    <d v="2014-04-25T00:00:00"/>
    <x v="4"/>
    <x v="1"/>
    <x v="4"/>
    <n v="295741.34700000001"/>
    <n v="292327.02830000001"/>
    <n v="8537"/>
    <n v="34.64230373667565"/>
    <x v="0"/>
    <n v="1.1544948769033649"/>
    <n v="34.242360114794423"/>
    <n v="1.1544948769033776"/>
  </r>
  <r>
    <d v="2014-04-26T00:00:00"/>
    <x v="4"/>
    <x v="1"/>
    <x v="5"/>
    <n v="285053.97989999998"/>
    <n v="281159.58110000001"/>
    <n v="8209"/>
    <n v="34.724568144719207"/>
    <x v="0"/>
    <n v="1.3661969572802188"/>
    <n v="34.25016215129736"/>
    <n v="1.3661969572802102"/>
  </r>
  <r>
    <d v="2014-04-27T00:00:00"/>
    <x v="4"/>
    <x v="1"/>
    <x v="6"/>
    <n v="124964.7965"/>
    <n v="123042.159"/>
    <n v="3592"/>
    <n v="34.789754036748327"/>
    <x v="0"/>
    <n v="1.5385432968716091"/>
    <n v="34.254498608017819"/>
    <n v="1.5385432968716"/>
  </r>
  <r>
    <d v="2014-04-28T00:00:00"/>
    <x v="4"/>
    <x v="1"/>
    <x v="0"/>
    <n v="124175.80839999999"/>
    <n v="122516.06570000001"/>
    <n v="3576"/>
    <n v="34.724778635346752"/>
    <x v="0"/>
    <n v="1.336607122905582"/>
    <n v="34.260644770693517"/>
    <n v="1.3366071229055654"/>
  </r>
  <r>
    <d v="2014-04-29T00:00:00"/>
    <x v="4"/>
    <x v="1"/>
    <x v="1"/>
    <n v="131842.5716"/>
    <n v="130405.26390000001"/>
    <n v="3807"/>
    <n v="34.631618492251114"/>
    <x v="0"/>
    <n v="1.0901696489663968"/>
    <n v="34.25407509850276"/>
    <n v="1.0901696489663921"/>
  </r>
  <r>
    <d v="2014-04-30T00:00:00"/>
    <x v="4"/>
    <x v="1"/>
    <x v="2"/>
    <n v="154850.05729999999"/>
    <n v="150644.34820000001"/>
    <n v="4398"/>
    <n v="35.209199022282853"/>
    <x v="1"/>
    <n v="2.7159880812003925"/>
    <n v="34.252921373351526"/>
    <n v="2.7159880812003898"/>
  </r>
  <r>
    <d v="2014-05-01T00:00:00"/>
    <x v="5"/>
    <x v="1"/>
    <x v="3"/>
    <n v="180294.26869999999"/>
    <n v="175656.65040000001"/>
    <n v="5124"/>
    <n v="35.186235109289612"/>
    <x v="1"/>
    <n v="2.5722494305776973"/>
    <n v="34.281157377049183"/>
    <n v="2.572249430577688"/>
  </r>
  <r>
    <d v="2014-05-02T00:00:00"/>
    <x v="5"/>
    <x v="1"/>
    <x v="4"/>
    <n v="163849.03580000001"/>
    <n v="157300.6256"/>
    <n v="4581"/>
    <n v="35.76708923815761"/>
    <x v="1"/>
    <n v="3.9966119837246019"/>
    <n v="34.337617463435933"/>
    <n v="3.9966119837245939"/>
  </r>
  <r>
    <d v="2014-05-03T00:00:00"/>
    <x v="5"/>
    <x v="1"/>
    <x v="5"/>
    <n v="131436.79240000001"/>
    <n v="127601.94469999999"/>
    <n v="3697"/>
    <n v="35.552283581282126"/>
    <x v="1"/>
    <n v="2.9176364014799354"/>
    <n v="34.514997213957258"/>
    <n v="2.9176364014799514"/>
  </r>
  <r>
    <d v="2014-05-04T00:00:00"/>
    <x v="5"/>
    <x v="1"/>
    <x v="6"/>
    <n v="93082.043959999995"/>
    <n v="91601.506540000002"/>
    <n v="2642"/>
    <n v="35.231659333838003"/>
    <x v="1"/>
    <n v="1.5905725282915169"/>
    <n v="34.671274239212721"/>
    <n v="1.5905725282915186"/>
  </r>
  <r>
    <d v="2014-05-05T00:00:00"/>
    <x v="5"/>
    <x v="1"/>
    <x v="0"/>
    <n v="110887.01330000001"/>
    <n v="109460.1532"/>
    <n v="3154"/>
    <n v="35.157581896005077"/>
    <x v="1"/>
    <n v="1.2867693497521637"/>
    <n v="34.705184908053269"/>
    <n v="1.2867693497521602"/>
  </r>
  <r>
    <d v="2014-05-06T00:00:00"/>
    <x v="5"/>
    <x v="1"/>
    <x v="1"/>
    <n v="119385.5754"/>
    <n v="115693.1066"/>
    <n v="3324"/>
    <n v="35.916238086642601"/>
    <x v="1"/>
    <n v="3.0928935825190171"/>
    <n v="34.805387063778582"/>
    <n v="3.0928935825190127"/>
  </r>
  <r>
    <d v="2014-05-07T00:00:00"/>
    <x v="5"/>
    <x v="1"/>
    <x v="2"/>
    <n v="91719.589380000005"/>
    <n v="93157.170580000005"/>
    <n v="2677"/>
    <n v="34.262080455734029"/>
    <x v="0"/>
    <n v="-1.5673654992544848"/>
    <n v="34.799092484124024"/>
    <n v="-1.5673654992545027"/>
  </r>
  <r>
    <d v="2014-05-08T00:00:00"/>
    <x v="5"/>
    <x v="1"/>
    <x v="3"/>
    <n v="96335.448950000005"/>
    <n v="93696.216140000004"/>
    <n v="2683"/>
    <n v="35.905869903093553"/>
    <x v="1"/>
    <n v="2.7396278719475475"/>
    <n v="34.922182683563179"/>
    <n v="2.73962787194754"/>
  </r>
  <r>
    <d v="2014-05-09T00:00:00"/>
    <x v="5"/>
    <x v="1"/>
    <x v="4"/>
    <n v="303226.29840000003"/>
    <n v="325836.94010000001"/>
    <n v="9328"/>
    <n v="32.50710746140652"/>
    <x v="0"/>
    <n v="-7.4566888885650746"/>
    <n v="34.931061331475128"/>
    <n v="-7.4566888885650746"/>
  </r>
  <r>
    <d v="2014-05-10T00:00:00"/>
    <x v="5"/>
    <x v="1"/>
    <x v="5"/>
    <n v="431695.70919999998"/>
    <n v="465253.81569999998"/>
    <n v="13306"/>
    <n v="32.443687749887268"/>
    <x v="0"/>
    <n v="-7.7735557210398136"/>
    <n v="34.965715895084919"/>
    <n v="-7.7735557210398039"/>
  </r>
  <r>
    <d v="2014-05-11T00:00:00"/>
    <x v="5"/>
    <x v="1"/>
    <x v="6"/>
    <n v="200407.27710000001"/>
    <n v="215907.82490000001"/>
    <n v="6173"/>
    <n v="32.465134796695288"/>
    <x v="0"/>
    <n v="-7.7345234286405065"/>
    <n v="34.976158253685405"/>
    <n v="-7.7345234286405011"/>
  </r>
  <r>
    <d v="2014-05-12T00:00:00"/>
    <x v="5"/>
    <x v="1"/>
    <x v="0"/>
    <n v="183413.7083"/>
    <n v="197835.4951"/>
    <n v="5653"/>
    <n v="32.445375605872989"/>
    <x v="0"/>
    <n v="-7.8629819622920749"/>
    <n v="34.996549637360694"/>
    <n v="-7.8629819622920687"/>
  </r>
  <r>
    <d v="2014-05-13T00:00:00"/>
    <x v="5"/>
    <x v="1"/>
    <x v="1"/>
    <n v="146166.6011"/>
    <n v="157693.1893"/>
    <n v="4503"/>
    <n v="32.459827026426829"/>
    <x v="0"/>
    <n v="-7.8859247688971523"/>
    <n v="35.019584565844994"/>
    <n v="-7.8859247688971497"/>
  </r>
  <r>
    <d v="2014-05-14T00:00:00"/>
    <x v="5"/>
    <x v="1"/>
    <x v="2"/>
    <n v="201120.72760000001"/>
    <n v="218098.76190000001"/>
    <n v="6253"/>
    <n v="32.163877754677756"/>
    <x v="0"/>
    <n v="-8.4417128471048741"/>
    <n v="34.879059955221493"/>
    <n v="-8.4417128471048688"/>
  </r>
  <r>
    <d v="2014-05-15T00:00:00"/>
    <x v="5"/>
    <x v="1"/>
    <x v="3"/>
    <n v="270123.55080000003"/>
    <n v="289864.79849999998"/>
    <n v="8408"/>
    <n v="32.126968458610847"/>
    <x v="0"/>
    <n v="-7.3082290091086524"/>
    <n v="34.474880887250237"/>
    <n v="-7.3082290091086675"/>
  </r>
  <r>
    <d v="2014-05-16T00:00:00"/>
    <x v="5"/>
    <x v="1"/>
    <x v="4"/>
    <n v="415315.38390000002"/>
    <n v="441790.7672"/>
    <n v="12949"/>
    <n v="32.073162707544988"/>
    <x v="0"/>
    <n v="-6.374765858992296"/>
    <n v="34.11775173372461"/>
    <n v="-6.3747658589922818"/>
  </r>
  <r>
    <d v="2014-05-17T00:00:00"/>
    <x v="5"/>
    <x v="1"/>
    <x v="5"/>
    <n v="498716.9976"/>
    <n v="526707.37699999998"/>
    <n v="15508"/>
    <n v="32.1586921330926"/>
    <x v="0"/>
    <n v="-5.6124775242671561"/>
    <n v="33.963591501160693"/>
    <n v="-5.6124775242671561"/>
  </r>
  <r>
    <d v="2014-05-18T00:00:00"/>
    <x v="5"/>
    <x v="1"/>
    <x v="6"/>
    <n v="166433.1721"/>
    <n v="174376.63250000001"/>
    <n v="5141"/>
    <n v="32.373696187512159"/>
    <x v="0"/>
    <n v="-4.7727627249856468"/>
    <n v="33.918815891849839"/>
    <n v="-4.7727627249856459"/>
  </r>
  <r>
    <d v="2014-05-19T00:00:00"/>
    <x v="5"/>
    <x v="1"/>
    <x v="0"/>
    <n v="168520.62940000001"/>
    <n v="175540.11550000001"/>
    <n v="5194"/>
    <n v="32.445250173276861"/>
    <x v="0"/>
    <n v="-4.1653571583444426"/>
    <n v="33.796710723912206"/>
    <n v="-4.1653571583444249"/>
  </r>
  <r>
    <d v="2014-05-20T00:00:00"/>
    <x v="5"/>
    <x v="1"/>
    <x v="1"/>
    <n v="178123.53210000001"/>
    <n v="187748.1722"/>
    <n v="5550"/>
    <n v="32.09433010810811"/>
    <x v="0"/>
    <n v="-5.40335125097151"/>
    <n v="33.828499495495493"/>
    <n v="-5.4033512509715003"/>
  </r>
  <r>
    <d v="2014-05-21T00:00:00"/>
    <x v="5"/>
    <x v="1"/>
    <x v="2"/>
    <n v="194878.8026"/>
    <n v="204460.6654"/>
    <n v="6070"/>
    <n v="32.105239308072484"/>
    <x v="0"/>
    <n v="-4.9168317293427393"/>
    <n v="33.683799901153215"/>
    <n v="-4.9168317293427561"/>
  </r>
  <r>
    <d v="2014-05-22T00:00:00"/>
    <x v="5"/>
    <x v="1"/>
    <x v="3"/>
    <n v="115475.0969"/>
    <n v="115011.3226"/>
    <n v="3421"/>
    <n v="33.754778398129204"/>
    <x v="0"/>
    <n v="0.40162278486904179"/>
    <n v="33.619211517100261"/>
    <n v="0.4016227848690499"/>
  </r>
  <r>
    <d v="2014-05-23T00:00:00"/>
    <x v="5"/>
    <x v="1"/>
    <x v="4"/>
    <n v="430521.0245"/>
    <n v="449274.1863"/>
    <n v="13384"/>
    <n v="32.166842834728037"/>
    <x v="0"/>
    <n v="-4.3559224132618413"/>
    <n v="33.56800555140466"/>
    <n v="-4.3559224132618226"/>
  </r>
  <r>
    <d v="2014-05-24T00:00:00"/>
    <x v="5"/>
    <x v="1"/>
    <x v="5"/>
    <n v="590642.82570000004"/>
    <n v="614245.79410000006"/>
    <n v="18356"/>
    <n v="32.177098806929614"/>
    <x v="0"/>
    <n v="-3.9961491739152111"/>
    <n v="33.462943675092617"/>
    <n v="-3.9961491739152253"/>
  </r>
  <r>
    <d v="2014-05-25T00:00:00"/>
    <x v="5"/>
    <x v="1"/>
    <x v="6"/>
    <n v="210764.71799999999"/>
    <n v="217364.46299999999"/>
    <n v="6500"/>
    <n v="32.425341230769227"/>
    <x v="0"/>
    <n v="-3.1313329207215772"/>
    <n v="33.440686615384614"/>
    <n v="-3.1313329207215856"/>
  </r>
  <r>
    <d v="2014-05-26T00:00:00"/>
    <x v="5"/>
    <x v="1"/>
    <x v="0"/>
    <n v="218189.34849999999"/>
    <n v="225607.59520000001"/>
    <n v="6752"/>
    <n v="32.314773178317537"/>
    <x v="0"/>
    <n v="-3.3999123930653372"/>
    <n v="33.413447156398107"/>
    <n v="-3.3999123930653306"/>
  </r>
  <r>
    <d v="2014-05-27T00:00:00"/>
    <x v="5"/>
    <x v="1"/>
    <x v="1"/>
    <n v="226132.4639"/>
    <n v="234496.5128"/>
    <n v="7023"/>
    <n v="32.198841506478715"/>
    <x v="0"/>
    <n v="-3.698738675442343"/>
    <n v="33.389792510323225"/>
    <n v="-3.6987386754423444"/>
  </r>
  <r>
    <d v="2014-05-28T00:00:00"/>
    <x v="5"/>
    <x v="1"/>
    <x v="2"/>
    <n v="243720.86799999999"/>
    <n v="252929.2947"/>
    <n v="7579"/>
    <n v="32.157391212561024"/>
    <x v="0"/>
    <n v="-3.7782676450996435"/>
    <n v="33.372383520253329"/>
    <n v="-3.7782676450996338"/>
  </r>
  <r>
    <d v="2014-05-29T00:00:00"/>
    <x v="5"/>
    <x v="1"/>
    <x v="3"/>
    <n v="207429.429"/>
    <n v="215118.84650000001"/>
    <n v="6448"/>
    <n v="32.169576457816376"/>
    <x v="0"/>
    <n v="-3.7070041300648859"/>
    <n v="33.362103985732013"/>
    <n v="-3.7070041300648935"/>
  </r>
  <r>
    <d v="2014-05-30T00:00:00"/>
    <x v="5"/>
    <x v="1"/>
    <x v="4"/>
    <n v="503149.4313"/>
    <n v="521651.08610000001"/>
    <n v="15637"/>
    <n v="32.17685178103217"/>
    <x v="0"/>
    <n v="-3.6771689778515344"/>
    <n v="33.36004899277355"/>
    <n v="-3.677168977851522"/>
  </r>
  <r>
    <d v="2014-05-31T00:00:00"/>
    <x v="5"/>
    <x v="1"/>
    <x v="5"/>
    <n v="603748.78949999996"/>
    <n v="626259.38679999998"/>
    <n v="18775"/>
    <n v="32.157059360852195"/>
    <x v="0"/>
    <n v="-3.728470796379133"/>
    <n v="33.356025928095868"/>
    <n v="-3.7284707963791219"/>
  </r>
  <r>
    <d v="2014-06-01T00:00:00"/>
    <x v="6"/>
    <x v="1"/>
    <x v="6"/>
    <n v="456017.46309999999"/>
    <n v="473223.98070000001"/>
    <n v="14188"/>
    <n v="32.141067317451366"/>
    <x v="0"/>
    <n v="-3.7732146227537795"/>
    <n v="33.353818769382578"/>
    <n v="-3.7732146227537817"/>
  </r>
  <r>
    <d v="2014-06-02T00:00:00"/>
    <x v="6"/>
    <x v="1"/>
    <x v="0"/>
    <n v="425845.196"/>
    <n v="442155.99119999999"/>
    <n v="13256"/>
    <n v="32.124713035606518"/>
    <x v="0"/>
    <n v="-3.8302170256254326"/>
    <n v="33.355159263729632"/>
    <n v="-3.8302170256254335"/>
  </r>
  <r>
    <d v="2014-06-03T00:00:00"/>
    <x v="6"/>
    <x v="1"/>
    <x v="1"/>
    <n v="328217.77"/>
    <n v="340913.59169999999"/>
    <n v="10223"/>
    <n v="32.105817274772576"/>
    <x v="0"/>
    <n v="-3.8681091825101275"/>
    <n v="33.347705340897974"/>
    <n v="-3.8681091825101181"/>
  </r>
  <r>
    <d v="2014-06-04T00:00:00"/>
    <x v="6"/>
    <x v="1"/>
    <x v="2"/>
    <n v="286405.9988"/>
    <n v="296902.67249999999"/>
    <n v="8904"/>
    <n v="32.165992677448337"/>
    <x v="0"/>
    <n v="-3.6649629351268969"/>
    <n v="33.344864386792452"/>
    <n v="-3.6649629351269022"/>
  </r>
  <r>
    <d v="2014-06-05T00:00:00"/>
    <x v="6"/>
    <x v="1"/>
    <x v="3"/>
    <n v="184989.88870000001"/>
    <n v="192824.89009999999"/>
    <n v="5783"/>
    <n v="31.988567992391495"/>
    <x v="0"/>
    <n v="-4.2353673787577009"/>
    <n v="33.343401366072968"/>
    <n v="-4.2353673787576884"/>
  </r>
  <r>
    <d v="2014-06-06T00:00:00"/>
    <x v="6"/>
    <x v="1"/>
    <x v="4"/>
    <n v="288118.30440000002"/>
    <n v="300213.55940000003"/>
    <n v="9005"/>
    <n v="31.995369727928932"/>
    <x v="0"/>
    <n v="-4.1980168615763942"/>
    <n v="33.3385407440311"/>
    <n v="-4.1980168615764022"/>
  </r>
  <r>
    <d v="2014-06-07T00:00:00"/>
    <x v="6"/>
    <x v="1"/>
    <x v="5"/>
    <n v="391930.87800000003"/>
    <n v="407438.91960000002"/>
    <n v="12222"/>
    <n v="32.067654884634265"/>
    <x v="0"/>
    <n v="-3.9568307756552921"/>
    <n v="33.336517722140407"/>
    <n v="-3.9568307756553081"/>
  </r>
  <r>
    <d v="2014-06-08T00:00:00"/>
    <x v="6"/>
    <x v="1"/>
    <x v="6"/>
    <n v="193772.58110000001"/>
    <n v="201254.71249999999"/>
    <n v="6037"/>
    <n v="32.097495626967039"/>
    <x v="0"/>
    <n v="-3.861295213969766"/>
    <n v="33.336874689415275"/>
    <n v="-3.8612952139697758"/>
  </r>
  <r>
    <d v="2014-06-09T00:00:00"/>
    <x v="6"/>
    <x v="1"/>
    <x v="0"/>
    <n v="214177.9834"/>
    <n v="220255.21919999999"/>
    <n v="6607"/>
    <n v="32.416828121689115"/>
    <x v="0"/>
    <n v="-2.8374698946763899"/>
    <n v="33.336645860451036"/>
    <n v="-2.8374698946763979"/>
  </r>
  <r>
    <d v="2014-06-10T00:00:00"/>
    <x v="6"/>
    <x v="1"/>
    <x v="1"/>
    <n v="188334.52119999999"/>
    <n v="195254.78099999999"/>
    <n v="5857"/>
    <n v="32.155458630698305"/>
    <x v="0"/>
    <n v="-3.6744510543826951"/>
    <n v="33.33699521939559"/>
    <n v="-3.6744510543826916"/>
  </r>
  <r>
    <d v="2014-06-11T00:00:00"/>
    <x v="6"/>
    <x v="1"/>
    <x v="2"/>
    <n v="174324.99479999999"/>
    <n v="180978.601"/>
    <n v="5429"/>
    <n v="32.109964044943816"/>
    <x v="0"/>
    <n v="-3.816782675160022"/>
    <n v="33.335531589611342"/>
    <n v="-3.8167826751600193"/>
  </r>
  <r>
    <d v="2014-06-12T00:00:00"/>
    <x v="6"/>
    <x v="1"/>
    <x v="3"/>
    <n v="200271.5643"/>
    <n v="207757.70300000001"/>
    <n v="6232"/>
    <n v="32.136001973684209"/>
    <x v="0"/>
    <n v="-3.7379938216221396"/>
    <n v="33.337243741976891"/>
    <n v="-3.7379938216221329"/>
  </r>
  <r>
    <d v="2014-06-13T00:00:00"/>
    <x v="6"/>
    <x v="1"/>
    <x v="4"/>
    <n v="468701.63020000001"/>
    <n v="486180.54440000001"/>
    <n v="14585"/>
    <n v="32.135867685978745"/>
    <x v="0"/>
    <n v="-3.7292198434516983"/>
    <n v="33.334284840589646"/>
    <n v="-3.729219843451697"/>
  </r>
  <r>
    <d v="2014-06-14T00:00:00"/>
    <x v="6"/>
    <x v="1"/>
    <x v="5"/>
    <n v="473425.75420000002"/>
    <n v="492135.29229999997"/>
    <n v="14745"/>
    <n v="32.107545215327228"/>
    <x v="0"/>
    <n v="-3.9519476779660048"/>
    <n v="33.376418602916239"/>
    <n v="-3.9519476779660092"/>
  </r>
  <r>
    <d v="2014-06-15T00:00:00"/>
    <x v="6"/>
    <x v="1"/>
    <x v="6"/>
    <n v="224232.1214"/>
    <n v="233554.03219999999"/>
    <n v="6991"/>
    <n v="32.074398712630526"/>
    <x v="0"/>
    <n v="-4.1572593354593232"/>
    <n v="33.407814647403804"/>
    <n v="-4.1572593354593241"/>
  </r>
  <r>
    <d v="2014-06-16T00:00:00"/>
    <x v="6"/>
    <x v="1"/>
    <x v="0"/>
    <n v="185606.27499999999"/>
    <n v="193340.31539999999"/>
    <n v="5788"/>
    <n v="32.067428299930889"/>
    <x v="0"/>
    <n v="-4.1669067492464889"/>
    <n v="33.403648134070487"/>
    <n v="-4.1669067492464862"/>
  </r>
  <r>
    <d v="2014-06-17T00:00:00"/>
    <x v="6"/>
    <x v="1"/>
    <x v="1"/>
    <n v="212687.50940000001"/>
    <n v="221403.64499999999"/>
    <n v="6632"/>
    <n v="32.069889837153198"/>
    <x v="0"/>
    <n v="-4.0980947233754099"/>
    <n v="33.384144300361882"/>
    <n v="-4.0980947233754161"/>
  </r>
  <r>
    <d v="2014-06-18T00:00:00"/>
    <x v="6"/>
    <x v="1"/>
    <x v="2"/>
    <n v="184259.6924"/>
    <n v="192057.51079999999"/>
    <n v="5752"/>
    <n v="32.034021627260081"/>
    <x v="0"/>
    <n v="-4.2319718970723672"/>
    <n v="33.389692420027814"/>
    <n v="-4.2319718970723716"/>
  </r>
  <r>
    <d v="2014-06-19T00:00:00"/>
    <x v="6"/>
    <x v="1"/>
    <x v="3"/>
    <n v="113735.8162"/>
    <n v="119544.01979999999"/>
    <n v="3578"/>
    <n v="31.787539463387368"/>
    <x v="0"/>
    <n v="-5.1067498296108358"/>
    <n v="33.410849580771377"/>
    <n v="-5.1067498296108251"/>
  </r>
  <r>
    <d v="2014-06-20T00:00:00"/>
    <x v="6"/>
    <x v="1"/>
    <x v="4"/>
    <n v="203165.08300000001"/>
    <n v="205350.64309999999"/>
    <n v="6119"/>
    <n v="33.202334204935447"/>
    <x v="0"/>
    <n v="-1.0757557685244434"/>
    <n v="33.559510230429808"/>
    <n v="-1.0757557685244548"/>
  </r>
  <r>
    <d v="2014-06-21T00:00:00"/>
    <x v="6"/>
    <x v="1"/>
    <x v="5"/>
    <n v="203345.24460000001"/>
    <n v="206918.91260000001"/>
    <n v="6161"/>
    <n v="33.00523366336634"/>
    <x v="0"/>
    <n v="-1.7574386885858873"/>
    <n v="33.585280409024513"/>
    <n v="-1.7574386885858864"/>
  </r>
  <r>
    <d v="2014-06-22T00:00:00"/>
    <x v="6"/>
    <x v="1"/>
    <x v="6"/>
    <n v="134944.489"/>
    <n v="135372.527"/>
    <n v="4015"/>
    <n v="33.610084433374844"/>
    <x v="0"/>
    <n v="-0.31719561367193033"/>
    <n v="33.716694146948939"/>
    <n v="-0.31719561367192256"/>
  </r>
  <r>
    <d v="2014-06-23T00:00:00"/>
    <x v="6"/>
    <x v="1"/>
    <x v="0"/>
    <n v="138298.2102"/>
    <n v="139206.0269"/>
    <n v="4133"/>
    <n v="33.461942947011856"/>
    <x v="0"/>
    <n v="-0.65641970253060855"/>
    <n v="33.681593733365595"/>
    <n v="-0.65641970253061444"/>
  </r>
  <r>
    <d v="2014-06-24T00:00:00"/>
    <x v="6"/>
    <x v="1"/>
    <x v="1"/>
    <n v="36692.679859999997"/>
    <n v="35299.06424"/>
    <n v="1047"/>
    <n v="35.04553950334288"/>
    <x v="0"/>
    <n v="3.7980753254254047"/>
    <n v="33.714483514804201"/>
    <n v="3.798075325425406"/>
  </r>
  <r>
    <d v="2014-06-25T00:00:00"/>
    <x v="6"/>
    <x v="1"/>
    <x v="2"/>
    <n v="56077.542690000002"/>
    <n v="53925.25763"/>
    <n v="1601"/>
    <n v="35.026572573391633"/>
    <x v="0"/>
    <n v="3.8380516633868251"/>
    <n v="33.682234622111181"/>
    <n v="3.8380516633868251"/>
  </r>
  <r>
    <d v="2014-06-26T00:00:00"/>
    <x v="6"/>
    <x v="1"/>
    <x v="3"/>
    <n v="55780.707450000002"/>
    <n v="53688.241199999997"/>
    <n v="1592"/>
    <n v="35.038132820351763"/>
    <x v="0"/>
    <n v="3.7512364859761291"/>
    <n v="33.72376959798995"/>
    <n v="3.7512364859761305"/>
  </r>
  <r>
    <d v="2014-06-27T00:00:00"/>
    <x v="6"/>
    <x v="1"/>
    <x v="4"/>
    <n v="131721.2383"/>
    <n v="127302.4271"/>
    <n v="3759"/>
    <n v="35.041563793562119"/>
    <x v="0"/>
    <n v="3.3546687360590939"/>
    <n v="33.866035408353284"/>
    <n v="3.3546687360591054"/>
  </r>
  <r>
    <d v="2014-06-28T00:00:00"/>
    <x v="6"/>
    <x v="1"/>
    <x v="5"/>
    <n v="146169.0766"/>
    <n v="141012.32939999999"/>
    <n v="4172"/>
    <n v="35.03573264621285"/>
    <x v="0"/>
    <n v="3.5279330758254326"/>
    <n v="33.799695445829336"/>
    <n v="3.5279330758254375"/>
  </r>
  <r>
    <d v="2014-06-29T00:00:00"/>
    <x v="6"/>
    <x v="1"/>
    <x v="6"/>
    <n v="62073.58541"/>
    <n v="60083.869839999999"/>
    <n v="1772"/>
    <n v="35.03024007336343"/>
    <x v="0"/>
    <n v="3.2054142786465478"/>
    <n v="33.907375756207678"/>
    <n v="3.2054142786465358"/>
  </r>
  <r>
    <d v="2014-06-30T00:00:00"/>
    <x v="6"/>
    <x v="1"/>
    <x v="0"/>
    <n v="93619.846990000005"/>
    <n v="90294.376090000005"/>
    <n v="2672"/>
    <n v="35.037367885479043"/>
    <x v="0"/>
    <n v="3.5521003365399753"/>
    <n v="33.792805422904195"/>
    <n v="3.5521003365399686"/>
  </r>
  <r>
    <d v="2014-07-01T00:00:00"/>
    <x v="7"/>
    <x v="1"/>
    <x v="1"/>
    <n v="180183.03140000001"/>
    <n v="173842.9209"/>
    <n v="5143"/>
    <n v="35.034616255104027"/>
    <x v="0"/>
    <n v="3.5187056465518034"/>
    <n v="33.801851234687923"/>
    <n v="3.5187056465518083"/>
  </r>
  <r>
    <d v="2014-07-02T00:00:00"/>
    <x v="7"/>
    <x v="1"/>
    <x v="2"/>
    <n v="104760.7062"/>
    <n v="101615.732"/>
    <n v="2990"/>
    <n v="35.037025484949829"/>
    <x v="0"/>
    <n v="3.0020551732401328"/>
    <n v="33.985194648829435"/>
    <n v="3.0020551732401182"/>
  </r>
  <r>
    <d v="2014-07-03T00:00:00"/>
    <x v="7"/>
    <x v="1"/>
    <x v="3"/>
    <n v="93450.533679999993"/>
    <n v="90927.089659999998"/>
    <n v="2667"/>
    <n v="35.039570183727029"/>
    <x v="0"/>
    <n v="2.7002992071088143"/>
    <n v="34.093396947881516"/>
    <n v="2.7002992071088037"/>
  </r>
  <r>
    <d v="2014-07-04T00:00:00"/>
    <x v="7"/>
    <x v="1"/>
    <x v="4"/>
    <n v="98087.555900000007"/>
    <n v="95423.273990000002"/>
    <n v="2799"/>
    <n v="35.043785602000717"/>
    <x v="0"/>
    <n v="2.7162282570443832"/>
    <n v="34.091916395141119"/>
    <n v="2.7162282570443934"/>
  </r>
  <r>
    <d v="2014-07-05T00:00:00"/>
    <x v="7"/>
    <x v="1"/>
    <x v="5"/>
    <n v="117562.2629"/>
    <n v="114395.62760000001"/>
    <n v="3355"/>
    <n v="35.040912935916545"/>
    <x v="0"/>
    <n v="2.6935814451730788"/>
    <n v="34.097057406855441"/>
    <n v="2.6935814451730855"/>
  </r>
  <r>
    <d v="2014-07-06T00:00:00"/>
    <x v="7"/>
    <x v="1"/>
    <x v="6"/>
    <n v="70153.080969999995"/>
    <n v="68252.242209999997"/>
    <n v="2002"/>
    <n v="35.041498986013984"/>
    <x v="0"/>
    <n v="2.7095584879769805"/>
    <n v="34.092029075924074"/>
    <n v="2.7095584879769814"/>
  </r>
  <r>
    <d v="2014-07-07T00:00:00"/>
    <x v="7"/>
    <x v="1"/>
    <x v="0"/>
    <n v="68918.415290000004"/>
    <n v="66990.881349999996"/>
    <n v="1967"/>
    <n v="35.0373234824606"/>
    <x v="0"/>
    <n v="2.7968343901832169"/>
    <n v="34.057387569903405"/>
    <n v="2.7968343901832093"/>
  </r>
  <r>
    <d v="2014-07-08T00:00:00"/>
    <x v="7"/>
    <x v="1"/>
    <x v="1"/>
    <n v="108417.4028"/>
    <n v="105373.3"/>
    <n v="3094"/>
    <n v="35.04117737556561"/>
    <x v="0"/>
    <n v="2.807762150155467"/>
    <n v="34.057304460245639"/>
    <n v="2.8077621501554635"/>
  </r>
  <r>
    <d v="2014-07-09T00:00:00"/>
    <x v="7"/>
    <x v="1"/>
    <x v="2"/>
    <n v="81802.608210000006"/>
    <n v="79496.49424"/>
    <n v="2335"/>
    <n v="35.033236920770882"/>
    <x v="0"/>
    <n v="2.8191203440357953"/>
    <n v="34.045607811563173"/>
    <n v="2.8191203440357904"/>
  </r>
  <r>
    <d v="2014-07-10T00:00:00"/>
    <x v="7"/>
    <x v="1"/>
    <x v="3"/>
    <n v="103998.5597"/>
    <n v="101270.9711"/>
    <n v="2968"/>
    <n v="35.039945990566039"/>
    <x v="0"/>
    <n v="2.6227176682717106"/>
    <n v="34.120947136118595"/>
    <n v="2.6227176682717226"/>
  </r>
  <r>
    <d v="2014-07-11T00:00:00"/>
    <x v="7"/>
    <x v="1"/>
    <x v="4"/>
    <n v="134018.08929999999"/>
    <n v="130633.26270000001"/>
    <n v="3825"/>
    <n v="35.03740896732026"/>
    <x v="0"/>
    <n v="2.5256490505718516"/>
    <n v="34.152486980392162"/>
    <n v="2.525649050571845"/>
  </r>
  <r>
    <d v="2014-07-12T00:00:00"/>
    <x v="7"/>
    <x v="1"/>
    <x v="5"/>
    <n v="99277.299499999994"/>
    <n v="96688.497810000001"/>
    <n v="2833"/>
    <n v="35.043169608189196"/>
    <x v="0"/>
    <n v="2.6076471691295282"/>
    <n v="34.129367387927992"/>
    <n v="2.6076471691295247"/>
  </r>
  <r>
    <d v="2014-07-13T00:00:00"/>
    <x v="7"/>
    <x v="1"/>
    <x v="6"/>
    <n v="49705.232000000004"/>
    <n v="48370.308989999998"/>
    <n v="1419"/>
    <n v="35.028352360817479"/>
    <x v="0"/>
    <n v="2.6856790649322506"/>
    <n v="34.087603234672301"/>
    <n v="2.6856790649322546"/>
  </r>
  <r>
    <d v="2014-07-14T00:00:00"/>
    <x v="7"/>
    <x v="1"/>
    <x v="0"/>
    <n v="75384.574550000005"/>
    <n v="73393.446590000007"/>
    <n v="2151"/>
    <n v="35.046292212924222"/>
    <x v="0"/>
    <n v="2.641293622582364"/>
    <n v="34.120616731752676"/>
    <n v="2.6412936225823587"/>
  </r>
  <r>
    <d v="2014-07-15T00:00:00"/>
    <x v="7"/>
    <x v="1"/>
    <x v="1"/>
    <n v="110288.23420000001"/>
    <n v="107437.38099999999"/>
    <n v="3148"/>
    <n v="35.034381893265568"/>
    <x v="0"/>
    <n v="2.5849114555866306"/>
    <n v="34.128774142312579"/>
    <n v="2.5849114555866266"/>
  </r>
  <r>
    <d v="2014-07-16T00:00:00"/>
    <x v="7"/>
    <x v="1"/>
    <x v="2"/>
    <n v="156536.6862"/>
    <n v="164641.35399999999"/>
    <n v="4825"/>
    <n v="32.442836518134712"/>
    <x v="0"/>
    <n v="-5.1774877804970396"/>
    <n v="34.122560414507774"/>
    <n v="-5.1774877804970583"/>
  </r>
  <r>
    <d v="2014-07-17T00:00:00"/>
    <x v="7"/>
    <x v="1"/>
    <x v="3"/>
    <n v="80823.059200000003"/>
    <n v="78844.860499999995"/>
    <n v="2307"/>
    <n v="35.033835804074556"/>
    <x v="0"/>
    <n v="2.4475672160650013"/>
    <n v="34.176359124403987"/>
    <n v="2.4475672160649946"/>
  </r>
  <r>
    <d v="2014-07-18T00:00:00"/>
    <x v="7"/>
    <x v="1"/>
    <x v="4"/>
    <n v="124615.6856"/>
    <n v="121612.1789"/>
    <n v="3557"/>
    <n v="35.033929041326957"/>
    <x v="0"/>
    <n v="2.4102156045113459"/>
    <n v="34.189535816699468"/>
    <n v="2.4102156045113285"/>
  </r>
  <r>
    <d v="2014-07-19T00:00:00"/>
    <x v="7"/>
    <x v="1"/>
    <x v="5"/>
    <n v="242758.95050000001"/>
    <n v="255779.85449999999"/>
    <n v="7485"/>
    <n v="32.432725517702075"/>
    <x v="0"/>
    <n v="-5.3637173719780025"/>
    <n v="34.172325250501004"/>
    <n v="-5.3637173719780034"/>
  </r>
  <r>
    <d v="2014-07-20T00:00:00"/>
    <x v="7"/>
    <x v="1"/>
    <x v="6"/>
    <n v="85078.243690000003"/>
    <n v="83020.514129999996"/>
    <n v="2428"/>
    <n v="35.040462804777597"/>
    <x v="0"/>
    <n v="2.4186319213379224"/>
    <n v="34.192962985996701"/>
    <n v="2.4186319213379335"/>
  </r>
  <r>
    <d v="2014-07-21T00:00:00"/>
    <x v="7"/>
    <x v="1"/>
    <x v="0"/>
    <n v="86738.067429999996"/>
    <n v="84643.271829999998"/>
    <n v="2475"/>
    <n v="35.045683810101011"/>
    <x v="0"/>
    <n v="2.4150821687266149"/>
    <n v="34.19930174949495"/>
    <n v="2.415082168726618"/>
  </r>
  <r>
    <d v="2014-07-22T00:00:00"/>
    <x v="7"/>
    <x v="1"/>
    <x v="1"/>
    <n v="56673.615810000003"/>
    <n v="55278.707829999999"/>
    <n v="1618"/>
    <n v="35.026956619283069"/>
    <x v="0"/>
    <n v="2.4613004835909438"/>
    <n v="34.164837966625463"/>
    <n v="2.4613004835909509"/>
  </r>
  <r>
    <d v="2014-07-23T00:00:00"/>
    <x v="7"/>
    <x v="1"/>
    <x v="2"/>
    <n v="165742.17050000001"/>
    <n v="173725.35750000001"/>
    <n v="5106"/>
    <n v="32.460276243634944"/>
    <x v="0"/>
    <n v="-4.8166299354695647"/>
    <n v="34.023767626321977"/>
    <n v="-4.816629935469555"/>
  </r>
  <r>
    <d v="2014-07-24T00:00:00"/>
    <x v="7"/>
    <x v="1"/>
    <x v="3"/>
    <n v="95618.248800000001"/>
    <n v="92416.903839999999"/>
    <n v="2729"/>
    <n v="35.037833931843167"/>
    <x v="0"/>
    <n v="3.3480480976974372"/>
    <n v="33.864750399413701"/>
    <n v="3.3480480976974474"/>
  </r>
  <r>
    <d v="2014-07-25T00:00:00"/>
    <x v="7"/>
    <x v="1"/>
    <x v="4"/>
    <n v="515698.79580000002"/>
    <n v="538260.27179999999"/>
    <n v="15897"/>
    <n v="32.440007284393282"/>
    <x v="0"/>
    <n v="-4.3749328452474865"/>
    <n v="33.859235818078879"/>
    <n v="-4.374932845247482"/>
  </r>
  <r>
    <d v="2014-07-26T00:00:00"/>
    <x v="7"/>
    <x v="1"/>
    <x v="5"/>
    <n v="562590.3665"/>
    <n v="586670.51410000003"/>
    <n v="17343"/>
    <n v="32.43904552268927"/>
    <x v="0"/>
    <n v="-4.2802275036822959"/>
    <n v="33.827510471083436"/>
    <n v="-4.2802275036822932"/>
  </r>
  <r>
    <d v="2014-07-27T00:00:00"/>
    <x v="7"/>
    <x v="1"/>
    <x v="6"/>
    <n v="266305.92589999997"/>
    <n v="277238.01040000003"/>
    <n v="8207"/>
    <n v="32.448632374801996"/>
    <x v="0"/>
    <n v="-4.1050849556029565"/>
    <n v="33.780676300718902"/>
    <n v="-4.1050849556029538"/>
  </r>
  <r>
    <d v="2014-07-28T00:00:00"/>
    <x v="7"/>
    <x v="1"/>
    <x v="0"/>
    <n v="292634.74570000003"/>
    <n v="304508.37900000002"/>
    <n v="9018"/>
    <n v="32.450071601241966"/>
    <x v="0"/>
    <n v="-4.0574926506411728"/>
    <n v="33.766730871590156"/>
    <n v="-4.0574926506411684"/>
  </r>
  <r>
    <d v="2014-07-29T00:00:00"/>
    <x v="7"/>
    <x v="1"/>
    <x v="1"/>
    <n v="212360.99309999999"/>
    <n v="221017.07310000001"/>
    <n v="6548"/>
    <n v="32.431428390348195"/>
    <x v="0"/>
    <n v="-4.076115803397049"/>
    <n v="33.753370968234577"/>
    <n v="-4.0761158033970561"/>
  </r>
  <r>
    <d v="2014-07-30T00:00:00"/>
    <x v="7"/>
    <x v="1"/>
    <x v="2"/>
    <n v="198019.3321"/>
    <n v="205903.82490000001"/>
    <n v="6102"/>
    <n v="32.451545739101931"/>
    <x v="0"/>
    <n v="-3.9816783121045618"/>
    <n v="33.743661897738448"/>
    <n v="-3.9816783121045729"/>
  </r>
  <r>
    <d v="2014-07-31T00:00:00"/>
    <x v="7"/>
    <x v="1"/>
    <x v="3"/>
    <n v="295508.3273"/>
    <n v="307222.39539999998"/>
    <n v="9108"/>
    <n v="32.444919554238034"/>
    <x v="0"/>
    <n v="-3.9640399331650151"/>
    <n v="33.731049121651296"/>
    <n v="-3.9640399331650209"/>
  </r>
  <r>
    <d v="2014-08-01T00:00:00"/>
    <x v="8"/>
    <x v="1"/>
    <x v="4"/>
    <n v="611894.67319999996"/>
    <n v="636341.31590000005"/>
    <n v="18867"/>
    <n v="32.432006847935547"/>
    <x v="0"/>
    <n v="-3.9952370515259594"/>
    <n v="33.727742402077702"/>
    <n v="-3.9952370515259519"/>
  </r>
  <r>
    <d v="2014-08-02T00:00:00"/>
    <x v="8"/>
    <x v="1"/>
    <x v="5"/>
    <n v="628685.21880000003"/>
    <n v="653779.96349999995"/>
    <n v="19384"/>
    <n v="32.433203611225757"/>
    <x v="0"/>
    <n v="-3.991623144552277"/>
    <n v="33.727814873091205"/>
    <n v="-3.9916231445522641"/>
  </r>
  <r>
    <d v="2014-08-03T00:00:00"/>
    <x v="8"/>
    <x v="1"/>
    <x v="6"/>
    <n v="307272.68369999999"/>
    <n v="319500.00949999999"/>
    <n v="9473"/>
    <n v="32.436681484218305"/>
    <x v="0"/>
    <n v="-3.9793077773024286"/>
    <n v="33.727436873218622"/>
    <n v="-3.979307777302433"/>
  </r>
  <r>
    <d v="2014-08-04T00:00:00"/>
    <x v="8"/>
    <x v="1"/>
    <x v="0"/>
    <n v="362106.53259999998"/>
    <n v="376645.75089999998"/>
    <n v="11170"/>
    <n v="32.417773733213963"/>
    <x v="0"/>
    <n v="-4.0151770241772233"/>
    <n v="33.71940473589973"/>
    <n v="-4.015177024177226"/>
  </r>
  <r>
    <d v="2014-08-05T00:00:00"/>
    <x v="8"/>
    <x v="1"/>
    <x v="1"/>
    <n v="262349.59100000001"/>
    <n v="272809.2904"/>
    <n v="8091"/>
    <n v="32.424866023977259"/>
    <x v="0"/>
    <n v="-3.9869318492667221"/>
    <n v="33.717623334569275"/>
    <n v="-3.9869318492667296"/>
  </r>
  <r>
    <d v="2014-08-06T00:00:00"/>
    <x v="8"/>
    <x v="1"/>
    <x v="2"/>
    <n v="80697.9035"/>
    <n v="77649.636530000003"/>
    <n v="2303"/>
    <n v="35.040340208423792"/>
    <x v="0"/>
    <n v="3.7773806230294409"/>
    <n v="33.716733187147199"/>
    <n v="3.7773806230294396"/>
  </r>
  <r>
    <d v="2014-08-07T00:00:00"/>
    <x v="8"/>
    <x v="1"/>
    <x v="3"/>
    <n v="103272.62270000001"/>
    <n v="99367.233219999995"/>
    <n v="2947"/>
    <n v="35.043305972175098"/>
    <x v="0"/>
    <n v="3.7816309665581991"/>
    <n v="33.718097461825586"/>
    <n v="3.7816309665581986"/>
  </r>
  <r>
    <d v="2014-08-08T00:00:00"/>
    <x v="8"/>
    <x v="1"/>
    <x v="4"/>
    <n v="439421.42210000003"/>
    <n v="456509.62190000003"/>
    <n v="13542"/>
    <n v="32.44878320041353"/>
    <x v="0"/>
    <n v="-3.8887953432801021"/>
    <n v="33.710649970462271"/>
    <n v="-3.8887953432801123"/>
  </r>
  <r>
    <d v="2014-08-09T00:00:00"/>
    <x v="8"/>
    <x v="1"/>
    <x v="5"/>
    <n v="408616.35060000001"/>
    <n v="424340.94939999998"/>
    <n v="12588"/>
    <n v="32.460784127740709"/>
    <x v="0"/>
    <n v="-3.848254916111518"/>
    <n v="33.709957848744835"/>
    <n v="-3.84825491611151"/>
  </r>
  <r>
    <d v="2014-08-10T00:00:00"/>
    <x v="8"/>
    <x v="1"/>
    <x v="6"/>
    <n v="195866.77299999999"/>
    <n v="203331.43479999999"/>
    <n v="6032"/>
    <n v="32.471281996021219"/>
    <x v="0"/>
    <n v="-3.8110914299895069"/>
    <n v="33.708792241379307"/>
    <n v="-3.8110914299894993"/>
  </r>
  <r>
    <d v="2014-08-11T00:00:00"/>
    <x v="8"/>
    <x v="1"/>
    <x v="0"/>
    <n v="232347.35320000001"/>
    <n v="241134.52780000001"/>
    <n v="7158"/>
    <n v="32.459814640961163"/>
    <x v="0"/>
    <n v="-3.7819129329337238"/>
    <n v="33.687416568873992"/>
    <n v="-3.7819129329337375"/>
  </r>
  <r>
    <d v="2014-08-12T00:00:00"/>
    <x v="8"/>
    <x v="1"/>
    <x v="1"/>
    <n v="190325.18109999999"/>
    <n v="197438.1116"/>
    <n v="5863"/>
    <n v="32.462081033600541"/>
    <x v="0"/>
    <n v="-3.7372514025155534"/>
    <n v="33.675270612314513"/>
    <n v="-3.7372514025155561"/>
  </r>
  <r>
    <d v="2014-08-13T00:00:00"/>
    <x v="8"/>
    <x v="1"/>
    <x v="2"/>
    <n v="197698.11859999999"/>
    <n v="205114.12890000001"/>
    <n v="6092"/>
    <n v="32.452087754432043"/>
    <x v="0"/>
    <n v="-3.7511789957924382"/>
    <n v="33.669423653972423"/>
    <n v="-3.7511789957924244"/>
  </r>
  <r>
    <d v="2014-08-14T00:00:00"/>
    <x v="8"/>
    <x v="1"/>
    <x v="3"/>
    <n v="177908.83559999999"/>
    <n v="184687.52910000001"/>
    <n v="5485"/>
    <n v="32.435521531449403"/>
    <x v="0"/>
    <n v="-3.8102062087803485"/>
    <n v="33.671381786690979"/>
    <n v="-3.810206208780361"/>
  </r>
  <r>
    <d v="2014-08-15T00:00:00"/>
    <x v="8"/>
    <x v="1"/>
    <x v="4"/>
    <n v="473321.88250000001"/>
    <n v="491559.42300000001"/>
    <n v="14587"/>
    <n v="32.448199252759309"/>
    <x v="0"/>
    <n v="-3.8530947277722793"/>
    <n v="33.698459107424419"/>
    <n v="-3.85309472777227"/>
  </r>
  <r>
    <d v="2014-08-16T00:00:00"/>
    <x v="8"/>
    <x v="1"/>
    <x v="5"/>
    <n v="541600.8922"/>
    <n v="562953.37080000003"/>
    <n v="16686"/>
    <n v="32.458401785928324"/>
    <x v="0"/>
    <n v="-3.9424747830945379"/>
    <n v="33.738066091334055"/>
    <n v="-3.9424747830945379"/>
  </r>
  <r>
    <d v="2014-08-17T00:00:00"/>
    <x v="8"/>
    <x v="1"/>
    <x v="6"/>
    <n v="239513.97899999999"/>
    <n v="249203.1208"/>
    <n v="7380"/>
    <n v="32.45446869918699"/>
    <x v="0"/>
    <n v="-4.0453345731440642"/>
    <n v="33.76736054200542"/>
    <n v="-4.0453345731440669"/>
  </r>
  <r>
    <d v="2014-08-18T00:00:00"/>
    <x v="8"/>
    <x v="1"/>
    <x v="0"/>
    <n v="255224.22260000001"/>
    <n v="265532.54619999998"/>
    <n v="7864"/>
    <n v="32.454758723296031"/>
    <x v="0"/>
    <n v="-4.0389283959758346"/>
    <n v="33.765583189216684"/>
    <n v="-4.0389283959758524"/>
  </r>
  <r>
    <d v="2014-08-19T00:00:00"/>
    <x v="8"/>
    <x v="1"/>
    <x v="1"/>
    <n v="160372.03969999999"/>
    <n v="167021.15779999999"/>
    <n v="4941"/>
    <n v="32.457405322809144"/>
    <x v="0"/>
    <n v="-4.1460581984479132"/>
    <n v="33.803108237198941"/>
    <n v="-4.1460581984479106"/>
  </r>
  <r>
    <d v="2014-08-20T00:00:00"/>
    <x v="8"/>
    <x v="1"/>
    <x v="2"/>
    <n v="171587.33230000001"/>
    <n v="174723.17540000001"/>
    <n v="5151"/>
    <n v="33.311460357212191"/>
    <x v="0"/>
    <n v="-1.8275493056313448"/>
    <n v="33.920243719666082"/>
    <n v="-1.8275493056313434"/>
  </r>
  <r>
    <d v="2014-08-21T00:00:00"/>
    <x v="8"/>
    <x v="1"/>
    <x v="3"/>
    <n v="164208.0606"/>
    <n v="167239.6488"/>
    <n v="4928"/>
    <n v="33.321440868506492"/>
    <x v="0"/>
    <n v="-1.8461872023351806"/>
    <n v="33.936617045454547"/>
    <n v="-1.8461872023351891"/>
  </r>
  <r>
    <d v="2014-08-22T00:00:00"/>
    <x v="8"/>
    <x v="1"/>
    <x v="4"/>
    <n v="376778.8357"/>
    <n v="384006.0453"/>
    <n v="11309"/>
    <n v="33.316724352285789"/>
    <x v="0"/>
    <n v="-1.9181569969483299"/>
    <n v="33.955791431603146"/>
    <n v="-1.9181569969483268"/>
  </r>
  <r>
    <d v="2014-08-23T00:00:00"/>
    <x v="8"/>
    <x v="1"/>
    <x v="5"/>
    <n v="453633.47399999999"/>
    <n v="463250.07130000001"/>
    <n v="13613"/>
    <n v="33.323549107470797"/>
    <x v="0"/>
    <n v="-2.1199046920421978"/>
    <n v="34.029976588555058"/>
    <n v="-2.1199046920422053"/>
  </r>
  <r>
    <d v="2014-08-24T00:00:00"/>
    <x v="8"/>
    <x v="1"/>
    <x v="6"/>
    <n v="214392.40090000001"/>
    <n v="218347.7978"/>
    <n v="6424"/>
    <n v="33.37366141033624"/>
    <x v="0"/>
    <n v="-1.8449333481017016"/>
    <n v="33.98938321917808"/>
    <n v="-1.8449333481016967"/>
  </r>
  <r>
    <d v="2014-08-25T00:00:00"/>
    <x v="8"/>
    <x v="1"/>
    <x v="0"/>
    <n v="316404.06229999999"/>
    <n v="323293.39659999998"/>
    <n v="9493"/>
    <n v="33.330249899926258"/>
    <x v="0"/>
    <n v="-2.1773849077411129"/>
    <n v="34.055977730959654"/>
    <n v="-2.1773849077411254"/>
  </r>
  <r>
    <d v="2014-08-26T00:00:00"/>
    <x v="8"/>
    <x v="1"/>
    <x v="1"/>
    <n v="242824.5013"/>
    <n v="259860.51250000001"/>
    <n v="7619"/>
    <n v="31.87091498884368"/>
    <x v="0"/>
    <n v="-7.0157711057965662"/>
    <n v="34.106905433783965"/>
    <n v="-7.0157711057965759"/>
  </r>
  <r>
    <d v="2014-08-27T00:00:00"/>
    <x v="8"/>
    <x v="1"/>
    <x v="2"/>
    <n v="274712.25329999998"/>
    <n v="304334.78460000001"/>
    <n v="8909"/>
    <n v="30.835363486362105"/>
    <x v="0"/>
    <n v="-10.783112491036464"/>
    <n v="34.160375418116516"/>
    <n v="-10.783112491036469"/>
  </r>
  <r>
    <d v="2014-08-28T00:00:00"/>
    <x v="8"/>
    <x v="1"/>
    <x v="3"/>
    <n v="258066.16940000001"/>
    <n v="287168.5661"/>
    <n v="8400"/>
    <n v="30.722163023809525"/>
    <x v="0"/>
    <n v="-11.277106475313142"/>
    <n v="34.186734059523808"/>
    <n v="-11.277106475313138"/>
  </r>
  <r>
    <d v="2014-08-29T00:00:00"/>
    <x v="8"/>
    <x v="1"/>
    <x v="4"/>
    <n v="594007.2132"/>
    <n v="660937.80480000004"/>
    <n v="19317"/>
    <n v="30.750489889734432"/>
    <x v="0"/>
    <n v="-11.267639535795462"/>
    <n v="34.215344246000932"/>
    <n v="-11.267639535795452"/>
  </r>
  <r>
    <d v="2014-08-30T00:00:00"/>
    <x v="8"/>
    <x v="1"/>
    <x v="5"/>
    <n v="717096.71279999998"/>
    <n v="797788.89199999999"/>
    <n v="23310"/>
    <n v="30.763479742599742"/>
    <x v="0"/>
    <n v="-11.25262154457892"/>
    <n v="34.225177691977692"/>
    <n v="-11.252621544578918"/>
  </r>
  <r>
    <d v="2014-08-31T00:00:00"/>
    <x v="8"/>
    <x v="1"/>
    <x v="6"/>
    <n v="358170.9963"/>
    <n v="398562.60739999998"/>
    <n v="11646"/>
    <n v="30.754851133436372"/>
    <x v="0"/>
    <n v="-11.277186460449306"/>
    <n v="34.223133041387598"/>
    <n v="-11.277186460449306"/>
  </r>
  <r>
    <d v="2014-09-01T00:00:00"/>
    <x v="9"/>
    <x v="1"/>
    <x v="0"/>
    <n v="594953.63489999995"/>
    <n v="662850.99080000003"/>
    <n v="19366"/>
    <n v="30.721555039760403"/>
    <x v="0"/>
    <n v="-11.412209610487093"/>
    <n v="34.227563296499021"/>
    <n v="-11.412209610487089"/>
  </r>
  <r>
    <d v="2014-09-02T00:00:00"/>
    <x v="9"/>
    <x v="1"/>
    <x v="1"/>
    <n v="469469.94099999999"/>
    <n v="523480.30330000003"/>
    <n v="15291"/>
    <n v="30.702370086979268"/>
    <x v="0"/>
    <n v="-11.504541096913389"/>
    <n v="34.234536871362238"/>
    <n v="-11.504541096913377"/>
  </r>
  <r>
    <d v="2014-09-03T00:00:00"/>
    <x v="9"/>
    <x v="1"/>
    <x v="2"/>
    <n v="464067.79930000001"/>
    <n v="517180.54330000002"/>
    <n v="15100"/>
    <n v="30.732966841059604"/>
    <x v="0"/>
    <n v="-11.44503972913339"/>
    <n v="34.250367105960265"/>
    <n v="-11.445039729133386"/>
  </r>
  <r>
    <d v="2014-09-04T00:00:00"/>
    <x v="9"/>
    <x v="1"/>
    <x v="3"/>
    <n v="312311.95400000003"/>
    <n v="348177.12050000002"/>
    <n v="10164"/>
    <n v="30.727268201495477"/>
    <x v="0"/>
    <n v="-11.483763602593319"/>
    <n v="34.255915043290045"/>
    <n v="-11.483763602593319"/>
  </r>
  <r>
    <d v="2014-09-05T00:00:00"/>
    <x v="9"/>
    <x v="1"/>
    <x v="4"/>
    <n v="501279.00040000002"/>
    <n v="558766.69030000002"/>
    <n v="16310"/>
    <n v="30.734457412630288"/>
    <x v="0"/>
    <n v="-11.468202309318201"/>
    <n v="34.259147167381975"/>
    <n v="-11.468202309318206"/>
  </r>
  <r>
    <d v="2014-09-06T00:00:00"/>
    <x v="9"/>
    <x v="1"/>
    <x v="5"/>
    <n v="552703.90379999997"/>
    <n v="616169.85140000004"/>
    <n v="17985"/>
    <n v="30.731381918265221"/>
    <x v="0"/>
    <n v="-11.482811531391986"/>
    <n v="34.260208584931888"/>
    <n v="-11.482811531391976"/>
  </r>
  <r>
    <d v="2014-09-07T00:00:00"/>
    <x v="9"/>
    <x v="1"/>
    <x v="6"/>
    <n v="234153.7622"/>
    <n v="261088.38639999999"/>
    <n v="7620"/>
    <n v="30.728840183727034"/>
    <x v="0"/>
    <n v="-11.502964525077356"/>
    <n v="34.263567769028867"/>
    <n v="-11.502964525077349"/>
  </r>
  <r>
    <d v="2014-09-08T00:00:00"/>
    <x v="9"/>
    <x v="1"/>
    <x v="0"/>
    <n v="244481.49770000001"/>
    <n v="272633.39980000001"/>
    <n v="7958"/>
    <n v="30.721474956019101"/>
    <x v="0"/>
    <n v="-11.514941770581277"/>
    <n v="34.259034908268411"/>
    <n v="-11.514941770581281"/>
  </r>
  <r>
    <d v="2014-09-09T00:00:00"/>
    <x v="9"/>
    <x v="1"/>
    <x v="1"/>
    <n v="122749.63529999999"/>
    <n v="120070.95020000001"/>
    <n v="3503"/>
    <n v="35.041288980873539"/>
    <x v="0"/>
    <n v="2.1822346709652405"/>
    <n v="34.276605823579793"/>
    <n v="2.1822346709652436"/>
  </r>
  <r>
    <d v="2014-09-10T00:00:00"/>
    <x v="9"/>
    <x v="1"/>
    <x v="2"/>
    <n v="78736.402839999995"/>
    <n v="77071.542709999994"/>
    <n v="2247"/>
    <n v="35.040677721406318"/>
    <x v="0"/>
    <n v="2.1144731914958803"/>
    <n v="34.299751984868713"/>
    <n v="2.1144731914958772"/>
  </r>
  <r>
    <d v="2014-09-11T00:00:00"/>
    <x v="9"/>
    <x v="1"/>
    <x v="3"/>
    <n v="70875.110669999995"/>
    <n v="69489.360849999997"/>
    <n v="2023"/>
    <n v="35.03465678200692"/>
    <x v="0"/>
    <n v="1.9551995148933958"/>
    <n v="34.34965934256055"/>
    <n v="1.9551995148934087"/>
  </r>
  <r>
    <d v="2014-09-12T00:00:00"/>
    <x v="9"/>
    <x v="1"/>
    <x v="4"/>
    <n v="148634.39139999999"/>
    <n v="145956.1397"/>
    <n v="4242"/>
    <n v="35.038753276756246"/>
    <x v="0"/>
    <n v="1.8019057869267756"/>
    <n v="34.407387953795379"/>
    <n v="1.8019057869267803"/>
  </r>
  <r>
    <d v="2014-09-13T00:00:00"/>
    <x v="9"/>
    <x v="1"/>
    <x v="5"/>
    <n v="171724.82879999999"/>
    <n v="168652.20360000001"/>
    <n v="4901"/>
    <n v="35.038732666802694"/>
    <x v="0"/>
    <n v="1.789272536459201"/>
    <n v="34.411794246072233"/>
    <n v="1.7892725364592066"/>
  </r>
  <r>
    <d v="2014-09-14T00:00:00"/>
    <x v="9"/>
    <x v="1"/>
    <x v="6"/>
    <n v="86435.698829999994"/>
    <n v="84948.374580000003"/>
    <n v="2467"/>
    <n v="35.036764827725982"/>
    <x v="0"/>
    <n v="1.7207291317505633"/>
    <n v="34.433877008512361"/>
    <n v="1.7207291317505757"/>
  </r>
  <r>
    <d v="2014-09-15T00:00:00"/>
    <x v="9"/>
    <x v="1"/>
    <x v="0"/>
    <n v="120236.1827"/>
    <n v="118094.0432"/>
    <n v="3432"/>
    <n v="35.033852768065266"/>
    <x v="0"/>
    <n v="1.7816097050792388"/>
    <n v="34.409686247086249"/>
    <n v="1.7816097050792239"/>
  </r>
  <r>
    <d v="2014-09-16T00:00:00"/>
    <x v="9"/>
    <x v="1"/>
    <x v="1"/>
    <n v="83204.196689999997"/>
    <n v="81753.424589999995"/>
    <n v="2375"/>
    <n v="35.033345974736839"/>
    <x v="0"/>
    <n v="1.7436285160053289"/>
    <n v="34.422494564210524"/>
    <n v="1.7436285160053255"/>
  </r>
  <r>
    <d v="2014-09-17T00:00:00"/>
    <x v="9"/>
    <x v="1"/>
    <x v="2"/>
    <n v="73768.034729999999"/>
    <n v="72471.919320000001"/>
    <n v="2105"/>
    <n v="35.04419702137767"/>
    <x v="0"/>
    <n v="1.757014965552409"/>
    <n v="34.428465235154391"/>
    <n v="1.7570149655524134"/>
  </r>
  <r>
    <d v="2014-09-18T00:00:00"/>
    <x v="9"/>
    <x v="1"/>
    <x v="3"/>
    <n v="69425.445120000004"/>
    <n v="68280.383279999995"/>
    <n v="1982"/>
    <n v="35.027974328960646"/>
    <x v="0"/>
    <n v="1.6493402930594119"/>
    <n v="34.450243834510594"/>
    <n v="1.6493402930594017"/>
  </r>
  <r>
    <d v="2014-09-19T00:00:00"/>
    <x v="9"/>
    <x v="1"/>
    <x v="4"/>
    <n v="137154.9541"/>
    <n v="135276.90960000001"/>
    <n v="3915"/>
    <n v="35.033193895274586"/>
    <x v="0"/>
    <n v="1.369286667276125"/>
    <n v="34.5534890421456"/>
    <n v="1.3692866672761186"/>
  </r>
  <r>
    <d v="2014-09-20T00:00:00"/>
    <x v="9"/>
    <x v="1"/>
    <x v="5"/>
    <n v="153569.0619"/>
    <n v="151376.13560000001"/>
    <n v="4383"/>
    <n v="35.037431416837784"/>
    <x v="0"/>
    <n v="1.4279740156438319"/>
    <n v="34.537106000456312"/>
    <n v="1.4279740156438308"/>
  </r>
  <r>
    <d v="2014-09-21T00:00:00"/>
    <x v="9"/>
    <x v="1"/>
    <x v="6"/>
    <n v="75633.320590000003"/>
    <n v="74546.668250000002"/>
    <n v="2159"/>
    <n v="35.031644553033814"/>
    <x v="0"/>
    <n v="1.4367375801078794"/>
    <n v="34.528331750810558"/>
    <n v="1.4367375801078914"/>
  </r>
  <r>
    <d v="2014-09-22T00:00:00"/>
    <x v="9"/>
    <x v="1"/>
    <x v="0"/>
    <n v="90815.929810000001"/>
    <n v="89653.637589999998"/>
    <n v="2592"/>
    <n v="35.037009957561729"/>
    <x v="0"/>
    <n v="1.2798329791168639"/>
    <n v="34.588594749228392"/>
    <n v="1.279832979116871"/>
  </r>
  <r>
    <d v="2014-09-23T00:00:00"/>
    <x v="9"/>
    <x v="1"/>
    <x v="1"/>
    <n v="110118.15640000001"/>
    <n v="108880.409"/>
    <n v="3143"/>
    <n v="35.03600267260579"/>
    <x v="0"/>
    <n v="1.1240175466649998"/>
    <n v="34.642191854915687"/>
    <n v="1.124017546664986"/>
  </r>
  <r>
    <d v="2014-09-24T00:00:00"/>
    <x v="9"/>
    <x v="1"/>
    <x v="2"/>
    <n v="209908.38310000001"/>
    <n v="223554.08660000001"/>
    <n v="6457"/>
    <n v="32.508654653864028"/>
    <x v="0"/>
    <n v="-6.5007901535305583"/>
    <n v="34.621974074647667"/>
    <n v="-6.5007901535305379"/>
  </r>
  <r>
    <d v="2014-09-25T00:00:00"/>
    <x v="9"/>
    <x v="1"/>
    <x v="3"/>
    <n v="358365.68300000002"/>
    <n v="382967.98320000002"/>
    <n v="11039"/>
    <n v="32.463600235528581"/>
    <x v="0"/>
    <n v="-6.8651384234243205"/>
    <n v="34.692271328924726"/>
    <n v="-6.8651384234243311"/>
  </r>
  <r>
    <d v="2014-09-26T00:00:00"/>
    <x v="9"/>
    <x v="1"/>
    <x v="4"/>
    <n v="585463.99600000004"/>
    <n v="625980.93019999994"/>
    <n v="18036"/>
    <n v="32.460855843867819"/>
    <x v="0"/>
    <n v="-6.9204826388674974"/>
    <n v="34.707303736970502"/>
    <n v="-6.9204826388675142"/>
  </r>
  <r>
    <d v="2014-09-27T00:00:00"/>
    <x v="9"/>
    <x v="1"/>
    <x v="5"/>
    <n v="617019.09149999998"/>
    <n v="661010.59129999997"/>
    <n v="19017"/>
    <n v="32.445658700110428"/>
    <x v="0"/>
    <n v="-7.129682112923728"/>
    <n v="34.758931024872481"/>
    <n v="-7.1296821129237244"/>
  </r>
  <r>
    <d v="2014-09-28T00:00:00"/>
    <x v="9"/>
    <x v="1"/>
    <x v="6"/>
    <n v="283850.59710000001"/>
    <n v="304440.65149999998"/>
    <n v="8747"/>
    <n v="32.451194363781873"/>
    <x v="0"/>
    <n v="-7.2538351549586944"/>
    <n v="34.805150508745854"/>
    <n v="-7.2538351549586837"/>
  </r>
  <r>
    <d v="2014-09-29T00:00:00"/>
    <x v="9"/>
    <x v="1"/>
    <x v="0"/>
    <n v="264317.11040000001"/>
    <n v="283912.96870000003"/>
    <n v="8147"/>
    <n v="32.443489677181788"/>
    <x v="0"/>
    <n v="-7.4137683596589525"/>
    <n v="34.848774849637906"/>
    <n v="-7.413768359658941"/>
  </r>
  <r>
    <d v="2014-09-30T00:00:00"/>
    <x v="9"/>
    <x v="1"/>
    <x v="1"/>
    <n v="358024.98129999998"/>
    <n v="384823.4399"/>
    <n v="11036"/>
    <n v="32.441553216745199"/>
    <x v="0"/>
    <n v="-7.485080650711569"/>
    <n v="34.869829639362088"/>
    <n v="-7.4850806507115619"/>
  </r>
  <r>
    <d v="2014-10-01T00:00:00"/>
    <x v="10"/>
    <x v="1"/>
    <x v="2"/>
    <n v="594438.28079999995"/>
    <n v="639306.56880000001"/>
    <n v="18330"/>
    <n v="32.429802553191486"/>
    <x v="0"/>
    <n v="-7.5480145625237904"/>
    <n v="34.87760877250409"/>
    <n v="-7.5480145625237842"/>
  </r>
  <r>
    <d v="2014-10-02T00:00:00"/>
    <x v="10"/>
    <x v="1"/>
    <x v="3"/>
    <n v="470507.663"/>
    <n v="506072.03330000001"/>
    <n v="14503"/>
    <n v="32.442092187823206"/>
    <x v="0"/>
    <n v="-7.5587228639887236"/>
    <n v="34.894300027580499"/>
    <n v="-7.5587228639887245"/>
  </r>
  <r>
    <d v="2014-10-03T00:00:00"/>
    <x v="10"/>
    <x v="1"/>
    <x v="4"/>
    <n v="518693.52870000002"/>
    <n v="557939.36930000002"/>
    <n v="15986"/>
    <n v="32.446736438133371"/>
    <x v="0"/>
    <n v="-7.5662869167390081"/>
    <n v="34.901749612160643"/>
    <n v="-7.5662869167390028"/>
  </r>
  <r>
    <d v="2014-10-04T00:00:00"/>
    <x v="10"/>
    <x v="1"/>
    <x v="5"/>
    <n v="656245.8284"/>
    <n v="705891.3003"/>
    <n v="20223"/>
    <n v="32.450468694061215"/>
    <x v="0"/>
    <n v="-7.5650723785995204"/>
    <n v="34.905370137961725"/>
    <n v="-7.565072378599524"/>
  </r>
  <r>
    <d v="2014-10-05T00:00:00"/>
    <x v="10"/>
    <x v="1"/>
    <x v="6"/>
    <n v="280055.1177"/>
    <n v="301279.65500000003"/>
    <n v="8631"/>
    <n v="32.447586339937438"/>
    <x v="0"/>
    <n v="-7.5787000338755197"/>
    <n v="34.90669157687406"/>
    <n v="-7.5787000338755055"/>
  </r>
  <r>
    <d v="2014-10-06T00:00:00"/>
    <x v="10"/>
    <x v="1"/>
    <x v="0"/>
    <n v="375648.01750000002"/>
    <n v="404178.92109999998"/>
    <n v="11579"/>
    <n v="32.442181319630365"/>
    <x v="0"/>
    <n v="-7.5951162446904057"/>
    <n v="34.906202703169527"/>
    <n v="-7.5951162446904057"/>
  </r>
  <r>
    <d v="2014-10-07T00:00:00"/>
    <x v="10"/>
    <x v="1"/>
    <x v="1"/>
    <n v="78111.716459999996"/>
    <n v="74251.874729999996"/>
    <n v="2127"/>
    <n v="36.723891142454157"/>
    <x v="0"/>
    <n v="4.9414376036360377"/>
    <n v="34.909202976022563"/>
    <n v="4.9414376036360386"/>
  </r>
  <r>
    <d v="2014-10-08T00:00:00"/>
    <x v="10"/>
    <x v="1"/>
    <x v="2"/>
    <n v="70509.132790000003"/>
    <n v="67141.979630000002"/>
    <n v="1923"/>
    <n v="36.66621569942798"/>
    <x v="0"/>
    <n v="4.7754851418021556"/>
    <n v="34.915226016640666"/>
    <n v="4.7754851418021582"/>
  </r>
  <r>
    <d v="2014-10-09T00:00:00"/>
    <x v="10"/>
    <x v="1"/>
    <x v="3"/>
    <n v="103281.311"/>
    <n v="98065.939079999996"/>
    <n v="2809"/>
    <n v="36.767999644001428"/>
    <x v="0"/>
    <n v="5.0496763349566747"/>
    <n v="34.911334667141332"/>
    <n v="5.0496763349566773"/>
  </r>
  <r>
    <d v="2014-10-10T00:00:00"/>
    <x v="10"/>
    <x v="1"/>
    <x v="4"/>
    <n v="179841.43179999999"/>
    <n v="170757.58119999999"/>
    <n v="4891"/>
    <n v="36.769869515436511"/>
    <x v="0"/>
    <n v="5.0510332958770432"/>
    <n v="34.912611163361269"/>
    <n v="5.051033295877045"/>
  </r>
  <r>
    <d v="2014-10-11T00:00:00"/>
    <x v="10"/>
    <x v="1"/>
    <x v="5"/>
    <n v="138038.23980000001"/>
    <n v="131192.3168"/>
    <n v="3758"/>
    <n v="36.731836029803091"/>
    <x v="0"/>
    <n v="4.9594395074284403"/>
    <n v="34.910142841937201"/>
    <n v="4.959439507428443"/>
  </r>
  <r>
    <d v="2014-10-12T00:00:00"/>
    <x v="10"/>
    <x v="1"/>
    <x v="6"/>
    <n v="61037.562230000003"/>
    <n v="57992.341509999998"/>
    <n v="1661"/>
    <n v="36.747478765803734"/>
    <x v="0"/>
    <n v="4.9890929597173148"/>
    <n v="34.914112889825404"/>
    <n v="4.9890929597173184"/>
  </r>
  <r>
    <d v="2014-10-13T00:00:00"/>
    <x v="10"/>
    <x v="1"/>
    <x v="0"/>
    <n v="86799.759449999998"/>
    <n v="82392.333259999999"/>
    <n v="2360"/>
    <n v="36.779559088983049"/>
    <x v="0"/>
    <n v="5.0776940142775917"/>
    <n v="34.912005618644066"/>
    <n v="5.0776940142775935"/>
  </r>
  <r>
    <d v="2014-10-14T00:00:00"/>
    <x v="10"/>
    <x v="1"/>
    <x v="1"/>
    <n v="69570.501470000003"/>
    <n v="66313.940979999999"/>
    <n v="1894"/>
    <n v="36.73204935058078"/>
    <x v="0"/>
    <n v="4.6809501458089802"/>
    <n v="35.012640432946142"/>
    <n v="4.6809501458089811"/>
  </r>
  <r>
    <d v="2014-10-15T00:00:00"/>
    <x v="10"/>
    <x v="1"/>
    <x v="2"/>
    <n v="130476.3553"/>
    <n v="124398.4316"/>
    <n v="3548"/>
    <n v="36.77462099774521"/>
    <x v="0"/>
    <n v="4.6582568052466122"/>
    <n v="35.061564712514091"/>
    <n v="4.6582568052466193"/>
  </r>
  <r>
    <d v="2014-10-16T00:00:00"/>
    <x v="10"/>
    <x v="1"/>
    <x v="3"/>
    <n v="95229.773480000003"/>
    <n v="91087.851339999994"/>
    <n v="2591"/>
    <n v="36.754061551524508"/>
    <x v="0"/>
    <n v="4.3493982907245803"/>
    <n v="35.155481026630639"/>
    <n v="4.3493982907245856"/>
  </r>
  <r>
    <d v="2014-10-17T00:00:00"/>
    <x v="10"/>
    <x v="1"/>
    <x v="4"/>
    <n v="121057.8613"/>
    <n v="116949.7913"/>
    <n v="3293"/>
    <n v="36.76218077740662"/>
    <x v="0"/>
    <n v="3.3934764383616338"/>
    <n v="35.514664834497417"/>
    <n v="3.3934764383616334"/>
  </r>
  <r>
    <d v="2014-10-18T00:00:00"/>
    <x v="10"/>
    <x v="1"/>
    <x v="5"/>
    <n v="169498.91639999999"/>
    <n v="164492.9466"/>
    <n v="4611"/>
    <n v="36.759686922576442"/>
    <x v="0"/>
    <n v="2.9533933940830739"/>
    <n v="35.674028757319455"/>
    <n v="2.9533933940830601"/>
  </r>
  <r>
    <d v="2014-10-19T00:00:00"/>
    <x v="10"/>
    <x v="1"/>
    <x v="6"/>
    <n v="90692.375880000007"/>
    <n v="87911.211580000003"/>
    <n v="2468"/>
    <n v="36.747315996758509"/>
    <x v="0"/>
    <n v="3.0665910701026435"/>
    <n v="35.620426085899517"/>
    <n v="3.0665910701026311"/>
  </r>
  <r>
    <d v="2014-10-20T00:00:00"/>
    <x v="10"/>
    <x v="1"/>
    <x v="0"/>
    <n v="101723.91499999999"/>
    <n v="98870.811879999994"/>
    <n v="2773"/>
    <n v="36.68370537324197"/>
    <x v="0"/>
    <n v="2.8047515866844095"/>
    <n v="35.654818564731336"/>
    <n v="2.8047515866843993"/>
  </r>
  <r>
    <d v="2014-10-21T00:00:00"/>
    <x v="10"/>
    <x v="1"/>
    <x v="1"/>
    <n v="103395.69130000001"/>
    <n v="100424.1557"/>
    <n v="2815"/>
    <n v="36.730263339254002"/>
    <x v="0"/>
    <n v="2.8739452898266009"/>
    <n v="35.674655666074599"/>
    <n v="2.8739452898266142"/>
  </r>
  <r>
    <d v="2014-10-22T00:00:00"/>
    <x v="10"/>
    <x v="1"/>
    <x v="2"/>
    <n v="99075.599100000007"/>
    <n v="96511.722160000005"/>
    <n v="2701"/>
    <n v="36.681080747871164"/>
    <x v="0"/>
    <n v="2.5877985733017907"/>
    <n v="35.731848263606075"/>
    <n v="2.5877985733017934"/>
  </r>
  <r>
    <d v="2014-10-23T00:00:00"/>
    <x v="10"/>
    <x v="1"/>
    <x v="3"/>
    <n v="97476.144719999997"/>
    <n v="94763.842550000001"/>
    <n v="2651"/>
    <n v="36.769575526216521"/>
    <x v="0"/>
    <n v="2.7825291796173079"/>
    <n v="35.746451357978124"/>
    <n v="2.7825291796173017"/>
  </r>
  <r>
    <d v="2014-10-24T00:00:00"/>
    <x v="10"/>
    <x v="1"/>
    <x v="4"/>
    <n v="248974.65280000001"/>
    <n v="241961.14319999999"/>
    <n v="6781"/>
    <n v="36.716509777318983"/>
    <x v="0"/>
    <n v="2.8169572770260811"/>
    <n v="35.682221383276804"/>
    <n v="2.816957277026078"/>
  </r>
  <r>
    <d v="2014-10-25T00:00:00"/>
    <x v="10"/>
    <x v="1"/>
    <x v="5"/>
    <n v="302721.68329999998"/>
    <n v="294129.67109999998"/>
    <n v="8249"/>
    <n v="36.69798561037701"/>
    <x v="0"/>
    <n v="2.8382546325514562"/>
    <n v="35.656403333737423"/>
    <n v="2.8382546325514437"/>
  </r>
  <r>
    <d v="2014-10-26T00:00:00"/>
    <x v="10"/>
    <x v="1"/>
    <x v="6"/>
    <n v="128520.72779999999"/>
    <n v="124739.23390000001"/>
    <n v="3502"/>
    <n v="36.699236950314102"/>
    <x v="0"/>
    <n v="2.942322195595275"/>
    <n v="35.619427155910913"/>
    <n v="2.9423221955952616"/>
  </r>
  <r>
    <d v="2014-10-27T00:00:00"/>
    <x v="10"/>
    <x v="1"/>
    <x v="0"/>
    <n v="145185.2683"/>
    <n v="140651.93719999999"/>
    <n v="3949"/>
    <n v="36.765071739680934"/>
    <x v="0"/>
    <n v="3.1224456538060554"/>
    <n v="35.617102355026589"/>
    <n v="3.122445653806055"/>
  </r>
  <r>
    <d v="2014-10-28T00:00:00"/>
    <x v="10"/>
    <x v="1"/>
    <x v="1"/>
    <n v="89527.556630000006"/>
    <n v="87067.051319999999"/>
    <n v="2435"/>
    <n v="36.766963708418892"/>
    <x v="0"/>
    <n v="2.7483217487647944"/>
    <n v="35.756489248459957"/>
    <n v="2.748321748764794"/>
  </r>
  <r>
    <d v="2014-10-29T00:00:00"/>
    <x v="10"/>
    <x v="1"/>
    <x v="2"/>
    <n v="81991.882840000006"/>
    <n v="80112.548009999999"/>
    <n v="2232"/>
    <n v="36.734714534050184"/>
    <x v="0"/>
    <n v="2.2920986381875932"/>
    <n v="35.89271864247312"/>
    <n v="2.2920986381875919"/>
  </r>
  <r>
    <d v="2014-10-30T00:00:00"/>
    <x v="10"/>
    <x v="1"/>
    <x v="3"/>
    <n v="69704.491110000003"/>
    <n v="68293.096390000006"/>
    <n v="1898"/>
    <n v="36.725232407797684"/>
    <x v="0"/>
    <n v="2.0248260872784911"/>
    <n v="35.981610321390939"/>
    <n v="2.0248260872784991"/>
  </r>
  <r>
    <d v="2014-10-31T00:00:00"/>
    <x v="10"/>
    <x v="1"/>
    <x v="4"/>
    <n v="166652.39480000001"/>
    <n v="163319.71650000001"/>
    <n v="4537"/>
    <n v="36.731848093453827"/>
    <x v="0"/>
    <n v="1.999778223409004"/>
    <n v="35.997292594225264"/>
    <n v="1.9997782234089978"/>
  </r>
  <r>
    <d v="2014-11-01T00:00:00"/>
    <x v="11"/>
    <x v="1"/>
    <x v="5"/>
    <n v="247453.10219999999"/>
    <n v="242638.80119999999"/>
    <n v="6730"/>
    <n v="36.768663031203566"/>
    <x v="0"/>
    <n v="1.9455407740691508"/>
    <n v="36.053313699851408"/>
    <n v="1.9455407740691575"/>
  </r>
  <r>
    <d v="2014-11-02T00:00:00"/>
    <x v="11"/>
    <x v="1"/>
    <x v="6"/>
    <n v="148476.18119999999"/>
    <n v="145646.33679999999"/>
    <n v="4038"/>
    <n v="36.769732838038628"/>
    <x v="0"/>
    <n v="1.9059248272207057"/>
    <n v="36.068929370975731"/>
    <n v="1.9059248272206908"/>
  </r>
  <r>
    <d v="2014-11-03T00:00:00"/>
    <x v="11"/>
    <x v="1"/>
    <x v="0"/>
    <n v="205368.92259999999"/>
    <n v="201281.239"/>
    <n v="5581"/>
    <n v="36.7978718150869"/>
    <x v="0"/>
    <n v="1.990410013476883"/>
    <n v="36.065443289733025"/>
    <n v="1.9904100134768759"/>
  </r>
  <r>
    <d v="2014-11-04T00:00:00"/>
    <x v="11"/>
    <x v="1"/>
    <x v="1"/>
    <n v="99244.681849999994"/>
    <n v="90949.442249999993"/>
    <n v="2519"/>
    <n v="39.398444561333861"/>
    <x v="1"/>
    <n v="8.3583719000052401"/>
    <n v="36.105376042080188"/>
    <n v="8.3583719000052419"/>
  </r>
  <r>
    <d v="2014-11-05T00:00:00"/>
    <x v="11"/>
    <x v="1"/>
    <x v="2"/>
    <n v="72756.863100000002"/>
    <n v="67872.77433"/>
    <n v="1847"/>
    <n v="39.391912885760696"/>
    <x v="1"/>
    <n v="6.7128908008129917"/>
    <n v="36.747576789388198"/>
    <n v="6.7128908008129944"/>
  </r>
  <r>
    <d v="2014-11-06T00:00:00"/>
    <x v="11"/>
    <x v="1"/>
    <x v="3"/>
    <n v="86867.458079999997"/>
    <n v="84486.086089999997"/>
    <n v="2309"/>
    <n v="37.621246461671717"/>
    <x v="0"/>
    <n v="2.7413856035788351"/>
    <n v="36.589903027284535"/>
    <n v="2.7413856035788395"/>
  </r>
  <r>
    <d v="2014-11-07T00:00:00"/>
    <x v="11"/>
    <x v="1"/>
    <x v="4"/>
    <n v="140167.8039"/>
    <n v="136539.20329999999"/>
    <n v="3722"/>
    <n v="37.659270257925847"/>
    <x v="0"/>
    <n v="2.5887546919039695"/>
    <n v="36.684364132186992"/>
    <n v="2.5887546919039779"/>
  </r>
  <r>
    <d v="2014-11-08T00:00:00"/>
    <x v="11"/>
    <x v="1"/>
    <x v="5"/>
    <n v="160727.3028"/>
    <n v="156700.82500000001"/>
    <n v="4268"/>
    <n v="37.658693252108719"/>
    <x v="0"/>
    <n v="2.5051610584234809"/>
    <n v="36.715282333645739"/>
    <n v="2.5051610584234854"/>
  </r>
  <r>
    <d v="2014-11-09T00:00:00"/>
    <x v="11"/>
    <x v="1"/>
    <x v="6"/>
    <n v="74115.628779999999"/>
    <n v="71994.346390000006"/>
    <n v="1968"/>
    <n v="37.660380477642278"/>
    <x v="0"/>
    <n v="2.8621256068631209"/>
    <n v="36.582493084349593"/>
    <n v="2.8621256068631338"/>
  </r>
  <r>
    <d v="2014-11-10T00:00:00"/>
    <x v="11"/>
    <x v="1"/>
    <x v="0"/>
    <n v="76103.291519999999"/>
    <n v="73967.605689999997"/>
    <n v="2016"/>
    <n v="37.749648571428573"/>
    <x v="1"/>
    <n v="2.8062988963345199"/>
    <n v="36.690280600198413"/>
    <n v="2.8062988963345186"/>
  </r>
  <r>
    <d v="2014-11-11T00:00:00"/>
    <x v="11"/>
    <x v="1"/>
    <x v="1"/>
    <n v="56303.366569999998"/>
    <n v="54996.866609999997"/>
    <n v="1497"/>
    <n v="37.610799311957244"/>
    <x v="0"/>
    <n v="2.3204650797846615"/>
    <n v="36.73805384769539"/>
    <n v="2.3204650797846518"/>
  </r>
  <r>
    <d v="2014-11-12T00:00:00"/>
    <x v="11"/>
    <x v="1"/>
    <x v="2"/>
    <n v="49436.815860000002"/>
    <n v="48289.89228"/>
    <n v="1314"/>
    <n v="37.623147534246577"/>
    <x v="0"/>
    <n v="2.3199786637714945"/>
    <n v="36.750298538812785"/>
    <n v="2.3199786637714945"/>
  </r>
  <r>
    <d v="2014-11-13T00:00:00"/>
    <x v="11"/>
    <x v="1"/>
    <x v="3"/>
    <n v="55033.1224"/>
    <n v="53997.218869999997"/>
    <n v="1466"/>
    <n v="37.539646930422919"/>
    <x v="0"/>
    <n v="1.8823273781754444"/>
    <n v="36.83302787858117"/>
    <n v="1.8823273781754448"/>
  </r>
  <r>
    <d v="2014-11-14T00:00:00"/>
    <x v="11"/>
    <x v="1"/>
    <x v="4"/>
    <n v="149808.16589999999"/>
    <n v="146994.89550000001"/>
    <n v="3984"/>
    <n v="37.602451280120484"/>
    <x v="0"/>
    <n v="1.8779152545515407"/>
    <n v="36.896309111445788"/>
    <n v="1.8779152545515452"/>
  </r>
  <r>
    <d v="2014-11-15T00:00:00"/>
    <x v="11"/>
    <x v="1"/>
    <x v="5"/>
    <n v="180685.51070000001"/>
    <n v="176898.27780000001"/>
    <n v="4802"/>
    <n v="37.627136755518535"/>
    <x v="0"/>
    <n v="2.0960357503641283"/>
    <n v="36.838458517284465"/>
    <n v="2.0960357503641287"/>
  </r>
  <r>
    <d v="2014-11-16T00:00:00"/>
    <x v="11"/>
    <x v="1"/>
    <x v="6"/>
    <n v="75871.43677"/>
    <n v="73905.810159999994"/>
    <n v="2017"/>
    <n v="37.615982533465541"/>
    <x v="0"/>
    <n v="2.5907333427185426"/>
    <n v="36.641452731779864"/>
    <n v="2.590733342718547"/>
  </r>
  <r>
    <d v="2014-11-17T00:00:00"/>
    <x v="11"/>
    <x v="1"/>
    <x v="0"/>
    <n v="86313.334080000001"/>
    <n v="84418.789109999998"/>
    <n v="2297"/>
    <n v="37.576549447104917"/>
    <x v="0"/>
    <n v="2.1949620996496706"/>
    <n v="36.751758428384846"/>
    <n v="2.1949620996496688"/>
  </r>
  <r>
    <d v="2014-11-18T00:00:00"/>
    <x v="11"/>
    <x v="1"/>
    <x v="1"/>
    <n v="62631.798750000002"/>
    <n v="61158.361089999999"/>
    <n v="1665"/>
    <n v="37.616695945945949"/>
    <x v="0"/>
    <n v="2.3525392682419217"/>
    <n v="36.731748402402403"/>
    <n v="2.3525392682419244"/>
  </r>
  <r>
    <d v="2014-11-19T00:00:00"/>
    <x v="11"/>
    <x v="1"/>
    <x v="2"/>
    <n v="48529.103360000001"/>
    <n v="47409.554060000002"/>
    <n v="1291"/>
    <n v="37.590320185902399"/>
    <x v="0"/>
    <n v="2.306964733502133"/>
    <n v="36.723124756003102"/>
    <n v="2.3069647335021206"/>
  </r>
  <r>
    <d v="2014-11-20T00:00:00"/>
    <x v="11"/>
    <x v="1"/>
    <x v="3"/>
    <n v="51040.881370000003"/>
    <n v="50038.142630000002"/>
    <n v="1361"/>
    <n v="37.502484474650991"/>
    <x v="0"/>
    <n v="1.9645795940141708"/>
    <n v="36.765718317413665"/>
    <n v="1.9645795940141726"/>
  </r>
  <r>
    <d v="2014-11-21T00:00:00"/>
    <x v="11"/>
    <x v="1"/>
    <x v="4"/>
    <n v="53973.92224"/>
    <n v="47192.49828"/>
    <n v="1281"/>
    <n v="42.134209398907103"/>
    <x v="2"/>
    <n v="12.564260069605051"/>
    <n v="36.840357751756443"/>
    <n v="12.564260069605043"/>
  </r>
  <r>
    <d v="2014-11-22T00:00:00"/>
    <x v="11"/>
    <x v="1"/>
    <x v="5"/>
    <n v="47497.982530000001"/>
    <n v="41179.088250000001"/>
    <n v="1122"/>
    <n v="42.33331776292335"/>
    <x v="2"/>
    <n v="13.303500366587045"/>
    <n v="36.701504679144385"/>
    <n v="13.303500366587043"/>
  </r>
  <r>
    <d v="2014-11-23T00:00:00"/>
    <x v="11"/>
    <x v="1"/>
    <x v="6"/>
    <n v="31219.951529999998"/>
    <n v="26893.304680000001"/>
    <n v="737"/>
    <n v="42.360856892808684"/>
    <x v="2"/>
    <n v="13.858595667076608"/>
    <n v="36.490237014925377"/>
    <n v="13.858595667076608"/>
  </r>
  <r>
    <d v="2014-11-24T00:00:00"/>
    <x v="11"/>
    <x v="1"/>
    <x v="0"/>
    <n v="26870.32387"/>
    <n v="23516.041720000001"/>
    <n v="641"/>
    <n v="41.919382012480497"/>
    <x v="2"/>
    <n v="12.483221885334125"/>
    <n v="36.686492542901718"/>
    <n v="12.483221885334119"/>
  </r>
  <r>
    <d v="2014-11-25T00:00:00"/>
    <x v="11"/>
    <x v="1"/>
    <x v="1"/>
    <n v="40530.642290000003"/>
    <n v="35674.190759999998"/>
    <n v="968"/>
    <n v="41.870498233471075"/>
    <x v="2"/>
    <n v="11.982172636820568"/>
    <n v="36.853502851239668"/>
    <n v="11.982172636820559"/>
  </r>
  <r>
    <d v="2014-11-26T00:00:00"/>
    <x v="11"/>
    <x v="1"/>
    <x v="2"/>
    <n v="30371.431339999999"/>
    <n v="26054.849170000001"/>
    <n v="709"/>
    <n v="42.836997658674186"/>
    <x v="2"/>
    <n v="14.21263990385248"/>
    <n v="36.748729435825105"/>
    <n v="14.21263990385248"/>
  </r>
  <r>
    <d v="2014-11-27T00:00:00"/>
    <x v="11"/>
    <x v="1"/>
    <x v="3"/>
    <n v="37776.658770000002"/>
    <n v="32719.689640000001"/>
    <n v="880"/>
    <n v="42.928021329545459"/>
    <x v="2"/>
    <n v="13.386491274384351"/>
    <n v="37.181465500000002"/>
    <n v="13.386491274384355"/>
  </r>
  <r>
    <d v="2014-11-28T00:00:00"/>
    <x v="11"/>
    <x v="1"/>
    <x v="4"/>
    <n v="46818.205320000001"/>
    <n v="40652.576410000001"/>
    <n v="1096"/>
    <n v="42.717340620437959"/>
    <x v="2"/>
    <n v="13.169297857229353"/>
    <n v="37.09176679744526"/>
    <n v="13.169297857229351"/>
  </r>
  <r>
    <d v="2014-11-29T00:00:00"/>
    <x v="11"/>
    <x v="1"/>
    <x v="5"/>
    <n v="88321.625549999997"/>
    <n v="79880.24368"/>
    <n v="2068"/>
    <n v="42.708716416827855"/>
    <x v="2"/>
    <n v="9.5575481287096817"/>
    <n v="38.626810290135396"/>
    <n v="9.5575481287096906"/>
  </r>
  <r>
    <d v="2014-11-30T00:00:00"/>
    <x v="11"/>
    <x v="1"/>
    <x v="6"/>
    <n v="101037.8278"/>
    <n v="93177.884699999995"/>
    <n v="2375"/>
    <n v="42.542243284210528"/>
    <x v="2"/>
    <n v="7.7792083135025631"/>
    <n v="39.232793557894738"/>
    <n v="7.7792083135025614"/>
  </r>
  <r>
    <d v="2014-12-01T00:00:00"/>
    <x v="0"/>
    <x v="1"/>
    <x v="0"/>
    <n v="105100.6676"/>
    <n v="97257.394669999994"/>
    <n v="2492"/>
    <n v="42.175227768860353"/>
    <x v="2"/>
    <n v="7.4626290290091424"/>
    <n v="39.027846978330658"/>
    <n v="7.4626290290091362"/>
  </r>
  <r>
    <d v="2014-12-02T00:00:00"/>
    <x v="0"/>
    <x v="1"/>
    <x v="1"/>
    <n v="88219.52549"/>
    <n v="85533.428920000006"/>
    <n v="2170"/>
    <n v="40.654159211981565"/>
    <x v="2"/>
    <n v="3.0447869165930541"/>
    <n v="39.416326691244244"/>
    <n v="3.0447869165930448"/>
  </r>
  <r>
    <d v="2014-12-03T00:00:00"/>
    <x v="0"/>
    <x v="1"/>
    <x v="2"/>
    <n v="71590.369290000002"/>
    <n v="69654.930309999996"/>
    <n v="1784"/>
    <n v="40.12913076793722"/>
    <x v="1"/>
    <n v="2.7034907057957516"/>
    <n v="39.044243447309412"/>
    <n v="2.7034907057957542"/>
  </r>
  <r>
    <d v="2014-12-04T00:00:00"/>
    <x v="0"/>
    <x v="1"/>
    <x v="3"/>
    <n v="54996.62169"/>
    <n v="54503.028550000003"/>
    <n v="1368"/>
    <n v="40.202208837719297"/>
    <x v="1"/>
    <n v="0.89749720043212566"/>
    <n v="39.841395138888892"/>
    <n v="0.897497200432121"/>
  </r>
  <r>
    <d v="2014-12-05T00:00:00"/>
    <x v="0"/>
    <x v="1"/>
    <x v="4"/>
    <n v="77884.18161"/>
    <n v="77619.294890000005"/>
    <n v="1914"/>
    <n v="40.691839921630091"/>
    <x v="2"/>
    <n v="0.34010336184361295"/>
    <n v="40.553445606060606"/>
    <n v="0.3401033618436124"/>
  </r>
  <r>
    <d v="2014-12-06T00:00:00"/>
    <x v="0"/>
    <x v="1"/>
    <x v="5"/>
    <n v="150370.11670000001"/>
    <n v="154998.8346"/>
    <n v="3765"/>
    <n v="39.9389420185923"/>
    <x v="1"/>
    <n v="-3.0782166041904708"/>
    <n v="41.168349163346612"/>
    <n v="-3.0782166041904677"/>
  </r>
  <r>
    <d v="2014-12-07T00:00:00"/>
    <x v="0"/>
    <x v="1"/>
    <x v="6"/>
    <n v="104675.37609999999"/>
    <n v="111903.73789999999"/>
    <n v="2712"/>
    <n v="38.59711508112094"/>
    <x v="1"/>
    <n v="-6.9055035379997065"/>
    <n v="41.262440228613563"/>
    <n v="-6.9055035379997038"/>
  </r>
  <r>
    <d v="2014-12-08T00:00:00"/>
    <x v="0"/>
    <x v="1"/>
    <x v="0"/>
    <n v="90121.530480000001"/>
    <n v="91081.668189999997"/>
    <n v="2222"/>
    <n v="40.55874459045905"/>
    <x v="2"/>
    <n v="-1.0653810525477834"/>
    <n v="40.990849770477048"/>
    <n v="-1.0653810525477807"/>
  </r>
  <r>
    <d v="2014-12-09T00:00:00"/>
    <x v="0"/>
    <x v="1"/>
    <x v="1"/>
    <n v="75425.443700000003"/>
    <n v="77014.255959999995"/>
    <n v="1861"/>
    <n v="40.529523750671686"/>
    <x v="2"/>
    <n v="-2.1064672371294137"/>
    <n v="41.38326488984417"/>
    <n v="-2.1064672371294164"/>
  </r>
  <r>
    <d v="2014-12-10T00:00:00"/>
    <x v="0"/>
    <x v="1"/>
    <x v="2"/>
    <n v="161844.8094"/>
    <n v="169348.51860000001"/>
    <n v="4095"/>
    <n v="39.522541978021977"/>
    <x v="1"/>
    <n v="-4.6363607383012013"/>
    <n v="41.354949597069599"/>
    <n v="-4.6363607383012013"/>
  </r>
  <r>
    <d v="2014-12-11T00:00:00"/>
    <x v="0"/>
    <x v="1"/>
    <x v="3"/>
    <n v="158603.35699999999"/>
    <n v="171692.99359999999"/>
    <n v="4157"/>
    <n v="38.153321385614625"/>
    <x v="1"/>
    <n v="-8.2530640256246279"/>
    <n v="41.30213942747173"/>
    <n v="-8.2530640256246173"/>
  </r>
  <r>
    <d v="2014-12-12T00:00:00"/>
    <x v="0"/>
    <x v="1"/>
    <x v="4"/>
    <n v="279092.09600000002"/>
    <n v="301236.10989999998"/>
    <n v="7259"/>
    <n v="38.447733296597328"/>
    <x v="1"/>
    <n v="-7.9343034852552616"/>
    <n v="41.498293139550903"/>
    <n v="-7.9343034852552767"/>
  </r>
  <r>
    <d v="2014-12-13T00:00:00"/>
    <x v="0"/>
    <x v="1"/>
    <x v="5"/>
    <n v="369350.98950000003"/>
    <n v="402564.67859999998"/>
    <n v="9654"/>
    <n v="38.258855344934744"/>
    <x v="1"/>
    <n v="-8.9924462216717451"/>
    <n v="41.699262336855185"/>
    <n v="-8.992446221671738"/>
  </r>
  <r>
    <d v="2014-12-14T00:00:00"/>
    <x v="0"/>
    <x v="1"/>
    <x v="6"/>
    <n v="177500.10769999999"/>
    <n v="192327.32070000001"/>
    <n v="4632"/>
    <n v="38.320403216753022"/>
    <x v="1"/>
    <n v="-8.3533543681337274"/>
    <n v="41.521442292746116"/>
    <n v="-8.3533543681337221"/>
  </r>
  <r>
    <d v="2014-12-15T00:00:00"/>
    <x v="0"/>
    <x v="1"/>
    <x v="0"/>
    <n v="282246.6287"/>
    <n v="304489.63829999999"/>
    <n v="7341"/>
    <n v="38.447981024383601"/>
    <x v="1"/>
    <n v="-7.8806998342014172"/>
    <n v="41.477951001225989"/>
    <n v="-7.8806998342014083"/>
  </r>
  <r>
    <d v="2014-12-16T00:00:00"/>
    <x v="0"/>
    <x v="1"/>
    <x v="1"/>
    <n v="166037.92569999999"/>
    <n v="179571.12909999999"/>
    <n v="4308"/>
    <n v="38.541765482822655"/>
    <x v="1"/>
    <n v="-8.1506700008117487"/>
    <n v="41.6831775998143"/>
    <n v="-8.1506700008117541"/>
  </r>
  <r>
    <d v="2014-12-17T00:00:00"/>
    <x v="0"/>
    <x v="1"/>
    <x v="2"/>
    <n v="148910.99840000001"/>
    <n v="161137.522"/>
    <n v="3865"/>
    <n v="38.52807203104787"/>
    <x v="1"/>
    <n v="-8.2106249581091966"/>
    <n v="41.691467529107371"/>
    <n v="-8.2106249581091841"/>
  </r>
  <r>
    <d v="2014-12-18T00:00:00"/>
    <x v="0"/>
    <x v="1"/>
    <x v="3"/>
    <n v="202359.14290000001"/>
    <n v="221435.76860000001"/>
    <n v="5288"/>
    <n v="38.267614012859305"/>
    <x v="1"/>
    <n v="-9.4271133128030282"/>
    <n v="41.875145347957641"/>
    <n v="-9.4271133128030282"/>
  </r>
  <r>
    <d v="2014-12-19T00:00:00"/>
    <x v="0"/>
    <x v="1"/>
    <x v="4"/>
    <n v="274343.65429999999"/>
    <n v="299516.83779999998"/>
    <n v="7141"/>
    <n v="38.418100308080099"/>
    <x v="1"/>
    <n v="-9.1757848615928364"/>
    <n v="41.943262540260463"/>
    <n v="-9.1757848615928346"/>
  </r>
  <r>
    <d v="2014-12-20T00:00:00"/>
    <x v="0"/>
    <x v="1"/>
    <x v="5"/>
    <n v="316167.0747"/>
    <n v="346378.30479999998"/>
    <n v="8268"/>
    <n v="38.239849383164007"/>
    <x v="1"/>
    <n v="-9.5554637144510934"/>
    <n v="41.893844315432993"/>
    <n v="-9.5554637144510917"/>
  </r>
  <r>
    <d v="2014-12-21T00:00:00"/>
    <x v="0"/>
    <x v="1"/>
    <x v="6"/>
    <n v="173833.4001"/>
    <n v="190644.50159999999"/>
    <n v="4541"/>
    <n v="38.280863268002641"/>
    <x v="1"/>
    <n v="-9.6708121053429181"/>
    <n v="41.982933626954413"/>
    <n v="-9.6708121053429235"/>
  </r>
  <r>
    <d v="2014-12-22T00:00:00"/>
    <x v="0"/>
    <x v="1"/>
    <x v="0"/>
    <n v="204565.08180000001"/>
    <n v="210188.9094"/>
    <n v="5014"/>
    <n v="40.798779776625452"/>
    <x v="1"/>
    <n v="-2.7491630294452283"/>
    <n v="41.920404746709217"/>
    <n v="-2.7491630294452323"/>
  </r>
  <r>
    <d v="2014-12-23T00:00:00"/>
    <x v="0"/>
    <x v="1"/>
    <x v="1"/>
    <n v="316394.73090000002"/>
    <n v="326627.1384"/>
    <n v="7778"/>
    <n v="40.678160311133972"/>
    <x v="1"/>
    <n v="-3.2340638135449971"/>
    <n v="41.993717973772178"/>
    <n v="-3.2340638135449948"/>
  </r>
  <r>
    <d v="2014-12-24T00:00:00"/>
    <x v="0"/>
    <x v="1"/>
    <x v="2"/>
    <n v="486230.32020000002"/>
    <n v="495909.08960000001"/>
    <n v="11809"/>
    <n v="41.174555017359644"/>
    <x v="2"/>
    <n v="-1.9905729852508671"/>
    <n v="41.99416458633246"/>
    <n v="-1.990572985250864"/>
  </r>
  <r>
    <d v="2014-12-25T00:00:00"/>
    <x v="0"/>
    <x v="1"/>
    <x v="3"/>
    <n v="137686.53210000001"/>
    <n v="140525.7867"/>
    <n v="3344"/>
    <n v="41.174202183014359"/>
    <x v="2"/>
    <n v="-2.0621149771844571"/>
    <n v="42.023261572966504"/>
    <n v="-2.0621149771844496"/>
  </r>
  <r>
    <d v="2014-12-26T00:00:00"/>
    <x v="0"/>
    <x v="1"/>
    <x v="4"/>
    <n v="48102.96241"/>
    <n v="49028.36507"/>
    <n v="1169"/>
    <n v="41.148813011120616"/>
    <x v="2"/>
    <n v="-1.9237955702445888"/>
    <n v="41.940432053036787"/>
    <n v="-1.923795570244597"/>
  </r>
  <r>
    <d v="2014-12-27T00:00:00"/>
    <x v="0"/>
    <x v="1"/>
    <x v="5"/>
    <n v="110162.132"/>
    <n v="112383.5592"/>
    <n v="2676"/>
    <n v="41.166715994020926"/>
    <x v="2"/>
    <n v="-2.0165070879347229"/>
    <n v="41.996845739910313"/>
    <n v="-2.0165070879347176"/>
  </r>
  <r>
    <d v="2014-12-28T00:00:00"/>
    <x v="0"/>
    <x v="1"/>
    <x v="6"/>
    <n v="69051.337090000001"/>
    <n v="70482.717799999999"/>
    <n v="1677"/>
    <n v="41.175514066785929"/>
    <x v="2"/>
    <n v="-2.072922510007833"/>
    <n v="42.029050566487776"/>
    <n v="-2.0729225100078303"/>
  </r>
  <r>
    <d v="2014-12-29T00:00:00"/>
    <x v="0"/>
    <x v="1"/>
    <x v="0"/>
    <n v="133307.36900000001"/>
    <n v="136003.48250000001"/>
    <n v="3237"/>
    <n v="41.182381526104422"/>
    <x v="2"/>
    <n v="-2.0224789673855215"/>
    <n v="42.015286530738344"/>
    <n v="-2.0224789673855201"/>
  </r>
  <r>
    <d v="2014-12-30T00:00:00"/>
    <x v="0"/>
    <x v="1"/>
    <x v="1"/>
    <n v="216389.5043"/>
    <n v="235723.7648"/>
    <n v="5607"/>
    <n v="38.592741983235243"/>
    <x v="1"/>
    <n v="-8.9349345119785486"/>
    <n v="42.040978205814163"/>
    <n v="-8.9349345119785486"/>
  </r>
  <r>
    <d v="2014-12-31T00:00:00"/>
    <x v="0"/>
    <x v="1"/>
    <x v="2"/>
    <n v="365055.31199999998"/>
    <n v="398013.34830000001"/>
    <n v="9464"/>
    <n v="38.573046491969563"/>
    <x v="1"/>
    <n v="-9.0282308506717577"/>
    <n v="42.055510175401523"/>
    <n v="-9.0282308506717648"/>
  </r>
  <r>
    <d v="2015-01-01T00:00:00"/>
    <x v="1"/>
    <x v="2"/>
    <x v="3"/>
    <n v="112161.41959999999"/>
    <n v="122170.4317"/>
    <n v="2905"/>
    <n v="38.609782994836486"/>
    <x v="1"/>
    <n v="-8.923756614079096"/>
    <n v="42.055226058519793"/>
    <n v="-8.923756614079096"/>
  </r>
  <r>
    <d v="2015-01-02T00:00:00"/>
    <x v="1"/>
    <x v="2"/>
    <x v="4"/>
    <n v="271101.46169999999"/>
    <n v="295019.4694"/>
    <n v="7023"/>
    <n v="38.601945279794954"/>
    <x v="1"/>
    <n v="-8.8225299672001061"/>
    <n v="42.007613470027053"/>
    <n v="-8.8225299672001114"/>
  </r>
  <r>
    <d v="2015-01-03T00:00:00"/>
    <x v="1"/>
    <x v="2"/>
    <x v="5"/>
    <n v="245813.28829999999"/>
    <n v="267734.72529999999"/>
    <n v="6371"/>
    <n v="38.583156223512788"/>
    <x v="1"/>
    <n v="-8.9179218713539363"/>
    <n v="42.023971951028095"/>
    <n v="-8.9179218713539434"/>
  </r>
  <r>
    <d v="2015-01-04T00:00:00"/>
    <x v="1"/>
    <x v="2"/>
    <x v="6"/>
    <n v="178394.81200000001"/>
    <n v="194427.448"/>
    <n v="4624"/>
    <n v="38.580192906574396"/>
    <x v="1"/>
    <n v="-8.9871649406486096"/>
    <n v="42.047458477508648"/>
    <n v="-8.9871649406485989"/>
  </r>
  <r>
    <d v="2015-01-05T00:00:00"/>
    <x v="1"/>
    <x v="2"/>
    <x v="0"/>
    <n v="220443.63149999999"/>
    <n v="239988.0275"/>
    <n v="5717"/>
    <n v="38.559319835578101"/>
    <x v="1"/>
    <n v="-8.8659381389296374"/>
    <n v="41.977965278992478"/>
    <n v="-8.8659381389296303"/>
  </r>
  <r>
    <d v="2015-01-06T00:00:00"/>
    <x v="1"/>
    <x v="2"/>
    <x v="1"/>
    <n v="181534.1887"/>
    <n v="197328.94390000001"/>
    <n v="4705"/>
    <n v="38.583249458023381"/>
    <x v="1"/>
    <n v="-8.7007055327204128"/>
    <n v="41.94026437832094"/>
    <n v="-8.700705532720411"/>
  </r>
  <r>
    <d v="2015-01-07T00:00:00"/>
    <x v="1"/>
    <x v="2"/>
    <x v="2"/>
    <n v="83176.481390000001"/>
    <n v="84728.831200000001"/>
    <n v="2020"/>
    <n v="41.176475935643566"/>
    <x v="2"/>
    <n v="-1.8663326267930263"/>
    <n v="41.944965940594059"/>
    <n v="-1.866332626793022"/>
  </r>
  <r>
    <d v="2015-01-08T00:00:00"/>
    <x v="1"/>
    <x v="2"/>
    <x v="3"/>
    <n v="76894.779349999997"/>
    <n v="78468.095499999996"/>
    <n v="1868"/>
    <n v="41.164228774089935"/>
    <x v="2"/>
    <n v="-2.0460636772735583"/>
    <n v="42.006475107066379"/>
    <n v="-2.0460636772735565"/>
  </r>
  <r>
    <d v="2015-01-09T00:00:00"/>
    <x v="1"/>
    <x v="2"/>
    <x v="4"/>
    <n v="123859.38800000001"/>
    <n v="126444.1425"/>
    <n v="3008"/>
    <n v="41.176658244680851"/>
    <x v="2"/>
    <n v="-2.0868458513617032"/>
    <n v="42.035951628989359"/>
    <n v="-2.0868458513617001"/>
  </r>
  <r>
    <d v="2015-01-10T00:00:00"/>
    <x v="1"/>
    <x v="2"/>
    <x v="5"/>
    <n v="120807.5742"/>
    <n v="123392.80409999999"/>
    <n v="2934"/>
    <n v="41.175042331288346"/>
    <x v="2"/>
    <n v="-2.1399568008211785"/>
    <n v="42.056170449897749"/>
    <n v="-2.1399568008211771"/>
  </r>
  <r>
    <d v="2015-01-11T00:00:00"/>
    <x v="1"/>
    <x v="2"/>
    <x v="6"/>
    <n v="69597.36735"/>
    <n v="71051.363500000007"/>
    <n v="1690"/>
    <n v="41.181874171597634"/>
    <x v="2"/>
    <n v="-2.0891539513096342"/>
    <n v="42.042226923076925"/>
    <n v="-2.0891539513096258"/>
  </r>
  <r>
    <d v="2015-01-12T00:00:00"/>
    <x v="1"/>
    <x v="2"/>
    <x v="0"/>
    <n v="84738.294410000002"/>
    <n v="86467.537750000003"/>
    <n v="2058"/>
    <n v="41.175070170068025"/>
    <x v="2"/>
    <n v="-2.0406869787031399"/>
    <n v="42.015324465500484"/>
    <n v="-2.0406869787031394"/>
  </r>
  <r>
    <d v="2015-01-13T00:00:00"/>
    <x v="1"/>
    <x v="2"/>
    <x v="1"/>
    <n v="64653.972139999998"/>
    <n v="65980.422089999993"/>
    <n v="1570"/>
    <n v="41.180873974522292"/>
    <x v="2"/>
    <n v="-2.0516140093105726"/>
    <n v="42.02574655414012"/>
    <n v="-2.0516140093105655"/>
  </r>
  <r>
    <d v="2015-01-14T00:00:00"/>
    <x v="1"/>
    <x v="2"/>
    <x v="2"/>
    <n v="59553.386030000001"/>
    <n v="60703.356030000003"/>
    <n v="1446"/>
    <n v="41.184914266943295"/>
    <x v="2"/>
    <n v="-1.930990119387509"/>
    <n v="41.980190892116184"/>
    <n v="-1.9309901193875025"/>
  </r>
  <r>
    <d v="2015-01-15T00:00:00"/>
    <x v="1"/>
    <x v="2"/>
    <x v="3"/>
    <n v="79080.756959999999"/>
    <n v="80337.748309999995"/>
    <n v="1921"/>
    <n v="41.166453388859971"/>
    <x v="2"/>
    <n v="-1.5895034371456487"/>
    <n v="41.820795580426861"/>
    <n v="-1.5895034371456476"/>
  </r>
  <r>
    <d v="2015-01-16T00:00:00"/>
    <x v="1"/>
    <x v="2"/>
    <x v="4"/>
    <n v="149444.05679999999"/>
    <n v="152030.9865"/>
    <n v="3629"/>
    <n v="41.180506144943507"/>
    <x v="2"/>
    <n v="-1.7310355161611273"/>
    <n v="41.893355332047399"/>
    <n v="-1.7310355161611377"/>
  </r>
  <r>
    <d v="2015-01-17T00:00:00"/>
    <x v="1"/>
    <x v="2"/>
    <x v="5"/>
    <n v="170624.07990000001"/>
    <n v="173547.02710000001"/>
    <n v="4144"/>
    <n v="41.173764454633208"/>
    <x v="2"/>
    <n v="-1.7130918459534474"/>
    <n v="41.879108856177609"/>
    <n v="-1.7130918459534499"/>
  </r>
  <r>
    <d v="2015-01-18T00:00:00"/>
    <x v="1"/>
    <x v="2"/>
    <x v="6"/>
    <n v="74744.283150000003"/>
    <n v="76003.928249999997"/>
    <n v="1815"/>
    <n v="41.181423223140499"/>
    <x v="2"/>
    <n v="-1.6852728354783804"/>
    <n v="41.875442561983469"/>
    <n v="-1.6852728354783766"/>
  </r>
  <r>
    <d v="2015-01-19T00:00:00"/>
    <x v="1"/>
    <x v="2"/>
    <x v="0"/>
    <n v="90144.161399999997"/>
    <n v="91110.969349999999"/>
    <n v="2189"/>
    <n v="41.180521425308356"/>
    <x v="2"/>
    <n v="-1.0725131112041186"/>
    <n v="41.622187916857015"/>
    <n v="-1.0725131112041331"/>
  </r>
  <r>
    <d v="2015-01-20T00:00:00"/>
    <x v="1"/>
    <x v="2"/>
    <x v="1"/>
    <n v="97826.808799999999"/>
    <n v="99134.306989999997"/>
    <n v="2376"/>
    <n v="41.172899326599328"/>
    <x v="2"/>
    <n v="-1.3365438431842198"/>
    <n v="41.723193177609424"/>
    <n v="-1.3365438431842094"/>
  </r>
  <r>
    <d v="2015-01-21T00:00:00"/>
    <x v="1"/>
    <x v="2"/>
    <x v="2"/>
    <n v="62795.979149999999"/>
    <n v="64144.088880000003"/>
    <n v="1525"/>
    <n v="41.177691245901642"/>
    <x v="2"/>
    <n v="-2.1468089967667998"/>
    <n v="42.06169762622951"/>
    <n v="-2.1468089967667923"/>
  </r>
  <r>
    <d v="2015-01-22T00:00:00"/>
    <x v="1"/>
    <x v="2"/>
    <x v="3"/>
    <n v="66550.989830000006"/>
    <n v="67952.150550000006"/>
    <n v="1616"/>
    <n v="41.182543211633664"/>
    <x v="2"/>
    <n v="-2.1053942602193745"/>
    <n v="42.049598112623769"/>
    <n v="-2.1053942602193896"/>
  </r>
  <r>
    <d v="2015-01-23T00:00:00"/>
    <x v="1"/>
    <x v="2"/>
    <x v="4"/>
    <n v="154670.89069999999"/>
    <n v="158031.791"/>
    <n v="3757"/>
    <n v="41.168722571200426"/>
    <x v="2"/>
    <n v="-2.1729365395062077"/>
    <n v="42.063292786797973"/>
    <n v="-2.1729365395061913"/>
  </r>
  <r>
    <d v="2015-01-24T00:00:00"/>
    <x v="1"/>
    <x v="2"/>
    <x v="5"/>
    <n v="158722.10560000001"/>
    <n v="162082.4184"/>
    <n v="3855"/>
    <n v="41.173049442282753"/>
    <x v="2"/>
    <n v="-2.1171044747027254"/>
    <n v="42.044725914396885"/>
    <n v="-2.1171044747027206"/>
  </r>
  <r>
    <d v="2015-01-25T00:00:00"/>
    <x v="1"/>
    <x v="2"/>
    <x v="6"/>
    <n v="78092.276920000004"/>
    <n v="79795.043099999995"/>
    <n v="1897"/>
    <n v="41.166197638376389"/>
    <x v="2"/>
    <n v="-2.1804540053869279"/>
    <n v="42.063807643647863"/>
    <n v="-2.1804540053869212"/>
  </r>
  <r>
    <d v="2015-01-26T00:00:00"/>
    <x v="1"/>
    <x v="2"/>
    <x v="0"/>
    <n v="91830.402040000001"/>
    <n v="93808.086750000002"/>
    <n v="2230"/>
    <n v="41.179552484304935"/>
    <x v="2"/>
    <n v="-2.153627411038177"/>
    <n v="42.066406614349773"/>
    <n v="-2.1536274110381641"/>
  </r>
  <r>
    <d v="2015-01-27T00:00:00"/>
    <x v="1"/>
    <x v="2"/>
    <x v="1"/>
    <n v="76992.935679999995"/>
    <n v="78614.457750000001"/>
    <n v="1870"/>
    <n v="41.172692877005346"/>
    <x v="2"/>
    <n v="-2.1060660379796632"/>
    <n v="42.039816978609629"/>
    <n v="-2.1060660379796663"/>
  </r>
  <r>
    <d v="2015-01-28T00:00:00"/>
    <x v="1"/>
    <x v="2"/>
    <x v="2"/>
    <n v="59897.715880000003"/>
    <n v="61194.180260000001"/>
    <n v="1455"/>
    <n v="41.166815037800689"/>
    <x v="2"/>
    <n v="-2.1644638045920721"/>
    <n v="42.057855848797253"/>
    <n v="-2.1644638045920779"/>
  </r>
  <r>
    <d v="2015-01-29T00:00:00"/>
    <x v="1"/>
    <x v="2"/>
    <x v="3"/>
    <n v="57310.194040000002"/>
    <n v="58531.410989999997"/>
    <n v="1392"/>
    <n v="41.171116408045975"/>
    <x v="2"/>
    <n v="-2.1308895746324619"/>
    <n v="42.048427435344827"/>
    <n v="-2.1308895746324747"/>
  </r>
  <r>
    <d v="2015-01-30T00:00:00"/>
    <x v="1"/>
    <x v="2"/>
    <x v="4"/>
    <n v="134540.2145"/>
    <n v="137221.53750000001"/>
    <n v="3268"/>
    <n v="41.168976285189721"/>
    <x v="2"/>
    <n v="-1.9929528208088327"/>
    <n v="41.98945455936353"/>
    <n v="-1.9929528208088343"/>
  </r>
  <r>
    <d v="2015-01-31T00:00:00"/>
    <x v="1"/>
    <x v="2"/>
    <x v="5"/>
    <n v="200193.61199999999"/>
    <n v="203814.73639999999"/>
    <n v="4862"/>
    <n v="41.175156725627311"/>
    <x v="2"/>
    <n v="-1.8088111622662568"/>
    <n v="41.919937556561088"/>
    <n v="-1.8088111622662693"/>
  </r>
  <r>
    <d v="2015-02-01T00:00:00"/>
    <x v="2"/>
    <x v="2"/>
    <x v="6"/>
    <n v="171469.93049999999"/>
    <n v="174652.45800000001"/>
    <n v="4165"/>
    <n v="41.169251020408161"/>
    <x v="2"/>
    <n v="-1.8560265877054321"/>
    <n v="41.933363265306127"/>
    <n v="-1.8560265877054332"/>
  </r>
  <r>
    <d v="2015-02-02T00:00:00"/>
    <x v="2"/>
    <x v="2"/>
    <x v="0"/>
    <n v="151737.2188"/>
    <n v="154148.59880000001"/>
    <n v="3685"/>
    <n v="41.176992890094979"/>
    <x v="2"/>
    <n v="-1.5891816253587512"/>
    <n v="41.831370094979647"/>
    <n v="-1.5891816253587483"/>
  </r>
  <r>
    <d v="2015-02-03T00:00:00"/>
    <x v="2"/>
    <x v="2"/>
    <x v="1"/>
    <n v="102072.4434"/>
    <n v="103634.9642"/>
    <n v="2479"/>
    <n v="41.174846066962488"/>
    <x v="2"/>
    <n v="-1.5307959209684192"/>
    <n v="41.805148931020575"/>
    <n v="-1.5307959209684201"/>
  </r>
  <r>
    <d v="2015-02-04T00:00:00"/>
    <x v="2"/>
    <x v="2"/>
    <x v="2"/>
    <n v="82514.105119999993"/>
    <n v="83232.391369999998"/>
    <n v="2005"/>
    <n v="41.154167142144637"/>
    <x v="2"/>
    <n v="-0.87050116941267597"/>
    <n v="41.51241464837905"/>
    <n v="-0.87050116941266797"/>
  </r>
  <r>
    <d v="2015-02-05T00:00:00"/>
    <x v="2"/>
    <x v="2"/>
    <x v="3"/>
    <n v="46211.332459999998"/>
    <n v="46407.299120000003"/>
    <n v="1122"/>
    <n v="41.186570819964345"/>
    <x v="2"/>
    <n v="-0.42406623996317794"/>
    <n v="41.361229162210343"/>
    <n v="-0.42406623996318649"/>
  </r>
  <r>
    <d v="2015-02-06T00:00:00"/>
    <x v="2"/>
    <x v="2"/>
    <x v="4"/>
    <n v="85730.414810000002"/>
    <n v="85765.709340000001"/>
    <n v="2082"/>
    <n v="41.176952358309322"/>
    <x v="2"/>
    <n v="-4.1169204742821666E-2"/>
    <n v="41.193904582132568"/>
    <n v="-4.1169204742820494E-2"/>
  </r>
  <r>
    <d v="2015-02-07T00:00:00"/>
    <x v="2"/>
    <x v="2"/>
    <x v="5"/>
    <n v="105918.2933"/>
    <n v="105662.55620000001"/>
    <n v="2573"/>
    <n v="41.165290827827441"/>
    <x v="2"/>
    <n v="0.24144752717611853"/>
    <n v="41.065898251068795"/>
    <n v="0.24144752717611662"/>
  </r>
  <r>
    <d v="2015-02-08T00:00:00"/>
    <x v="2"/>
    <x v="2"/>
    <x v="6"/>
    <n v="73041.660870000007"/>
    <n v="73046.233900000007"/>
    <n v="1774"/>
    <n v="41.173427773393463"/>
    <x v="2"/>
    <n v="-6.2608516092462208E-3"/>
    <n v="41.176005580608795"/>
    <n v="-6.2608516092442362E-3"/>
  </r>
  <r>
    <d v="2015-02-09T00:00:00"/>
    <x v="2"/>
    <x v="2"/>
    <x v="0"/>
    <n v="97908.547099999996"/>
    <n v="97097.936589999998"/>
    <n v="2378"/>
    <n v="41.172643860386877"/>
    <x v="2"/>
    <n v="0.82792619644541599"/>
    <n v="40.831764756097563"/>
    <n v="0.82792619644540644"/>
  </r>
  <r>
    <d v="2015-02-10T00:00:00"/>
    <x v="2"/>
    <x v="2"/>
    <x v="1"/>
    <n v="138667.41589999999"/>
    <n v="148522.84899999999"/>
    <n v="3677"/>
    <n v="37.712106581452268"/>
    <x v="1"/>
    <n v="-7.1072450842433241"/>
    <n v="40.392398422627139"/>
    <n v="-7.1072450842433268"/>
  </r>
  <r>
    <d v="2015-02-11T00:00:00"/>
    <x v="2"/>
    <x v="2"/>
    <x v="2"/>
    <n v="162162.1035"/>
    <n v="173661.8278"/>
    <n v="4299"/>
    <n v="37.720889392882064"/>
    <x v="1"/>
    <n v="-7.0914992170165103"/>
    <n v="40.395865968829959"/>
    <n v="-7.0914992170165085"/>
  </r>
  <r>
    <d v="2015-02-12T00:00:00"/>
    <x v="2"/>
    <x v="2"/>
    <x v="3"/>
    <n v="138520.1268"/>
    <n v="147756.34280000001"/>
    <n v="3674"/>
    <n v="37.702810778443116"/>
    <x v="1"/>
    <n v="-6.6677790537512092"/>
    <n v="40.2167508982036"/>
    <n v="-6.6677790537512109"/>
  </r>
  <r>
    <d v="2015-02-13T00:00:00"/>
    <x v="2"/>
    <x v="2"/>
    <x v="4"/>
    <n v="358597.42849999998"/>
    <n v="382447.08039999998"/>
    <n v="9505"/>
    <n v="37.727241294055759"/>
    <x v="1"/>
    <n v="-6.6508150936168793"/>
    <n v="40.236410352446079"/>
    <n v="-6.6508150936168784"/>
  </r>
  <r>
    <d v="2015-02-14T00:00:00"/>
    <x v="2"/>
    <x v="2"/>
    <x v="5"/>
    <n v="424009.88250000001"/>
    <n v="451548.02759999997"/>
    <n v="11237"/>
    <n v="37.733370339058467"/>
    <x v="1"/>
    <n v="-6.4946941655304373"/>
    <n v="40.18403734092729"/>
    <n v="-6.4946941655304364"/>
  </r>
  <r>
    <d v="2015-02-15T00:00:00"/>
    <x v="2"/>
    <x v="2"/>
    <x v="6"/>
    <n v="203861.4724"/>
    <n v="217065.6152"/>
    <n v="5406"/>
    <n v="37.710224269330375"/>
    <x v="1"/>
    <n v="-6.4770172826437422"/>
    <n v="40.152722012578614"/>
    <n v="-6.4770172826437324"/>
  </r>
  <r>
    <d v="2015-02-16T00:00:00"/>
    <x v="2"/>
    <x v="2"/>
    <x v="0"/>
    <n v="220506.20929999999"/>
    <n v="234723.22"/>
    <n v="5846"/>
    <n v="37.719159989736568"/>
    <x v="1"/>
    <n v="-6.4474423396656766"/>
    <n v="40.151081081081081"/>
    <n v="-6.4474423396656819"/>
  </r>
  <r>
    <d v="2015-02-17T00:00:00"/>
    <x v="2"/>
    <x v="2"/>
    <x v="1"/>
    <n v="139935.93700000001"/>
    <n v="148697.54370000001"/>
    <n v="3713"/>
    <n v="37.688105844330728"/>
    <x v="1"/>
    <n v="-6.2611555600617468"/>
    <n v="40.047816778885"/>
    <n v="-6.261155560061753"/>
  </r>
  <r>
    <d v="2015-02-18T00:00:00"/>
    <x v="2"/>
    <x v="2"/>
    <x v="2"/>
    <n v="161064.75229999999"/>
    <n v="170739.36660000001"/>
    <n v="4270"/>
    <n v="37.720082505854798"/>
    <x v="1"/>
    <n v="-6.0066613966412916"/>
    <n v="39.985800140515224"/>
    <n v="-6.0066613966412934"/>
  </r>
  <r>
    <d v="2015-02-19T00:00:00"/>
    <x v="2"/>
    <x v="2"/>
    <x v="3"/>
    <n v="144328.54519999999"/>
    <n v="152824.11489999999"/>
    <n v="3827"/>
    <n v="37.71323365560491"/>
    <x v="1"/>
    <n v="-5.8862712765707235"/>
    <n v="39.933136895740788"/>
    <n v="-5.8862712765707315"/>
  </r>
  <r>
    <d v="2015-02-20T00:00:00"/>
    <x v="2"/>
    <x v="2"/>
    <x v="4"/>
    <n v="293071.75919999997"/>
    <n v="310240.37839999999"/>
    <n v="7770"/>
    <n v="37.718373127413123"/>
    <x v="1"/>
    <n v="-5.8581622626708612"/>
    <n v="39.927976628056626"/>
    <n v="-5.858162262670862"/>
  </r>
  <r>
    <d v="2015-02-21T00:00:00"/>
    <x v="2"/>
    <x v="2"/>
    <x v="5"/>
    <n v="267782.15399999998"/>
    <n v="283430.33679999999"/>
    <n v="7102"/>
    <n v="37.705175161926213"/>
    <x v="1"/>
    <n v="-5.8436242170193351"/>
    <n v="39.908523908758092"/>
    <n v="-5.8436242170193315"/>
  </r>
  <r>
    <d v="2015-02-22T00:00:00"/>
    <x v="2"/>
    <x v="2"/>
    <x v="6"/>
    <n v="136052.68840000001"/>
    <n v="144020.12280000001"/>
    <n v="3608"/>
    <n v="37.708616518847009"/>
    <x v="1"/>
    <n v="-5.8561388927320879"/>
    <n v="39.916885476718406"/>
    <n v="-5.8561388927320888"/>
  </r>
  <r>
    <d v="2015-02-23T00:00:00"/>
    <x v="2"/>
    <x v="2"/>
    <x v="0"/>
    <n v="86703.31409"/>
    <n v="85730.966539999994"/>
    <n v="2150"/>
    <n v="40.327122832558139"/>
    <x v="2"/>
    <n v="1.1214652637045537"/>
    <n v="39.874868158139535"/>
    <n v="1.1214652637045464"/>
  </r>
  <r>
    <d v="2015-02-24T00:00:00"/>
    <x v="2"/>
    <x v="2"/>
    <x v="1"/>
    <n v="95474.357369999998"/>
    <n v="100867.5241"/>
    <n v="2530"/>
    <n v="37.736900146245056"/>
    <x v="1"/>
    <n v="-5.6488117632459094"/>
    <n v="39.868586600790515"/>
    <n v="-5.6488117632459245"/>
  </r>
  <r>
    <d v="2015-02-25T00:00:00"/>
    <x v="2"/>
    <x v="2"/>
    <x v="2"/>
    <n v="198431.6275"/>
    <n v="209499.7941"/>
    <n v="5253"/>
    <n v="37.774914810584427"/>
    <x v="1"/>
    <n v="-5.5778238275045124"/>
    <n v="39.881933009708739"/>
    <n v="-5.5778238275045187"/>
  </r>
  <r>
    <d v="2015-02-26T00:00:00"/>
    <x v="2"/>
    <x v="2"/>
    <x v="3"/>
    <n v="157291.734"/>
    <n v="166305.03760000001"/>
    <n v="4171"/>
    <n v="37.71079693119156"/>
    <x v="1"/>
    <n v="-5.7303097694885956"/>
    <n v="39.871742411891638"/>
    <n v="-5.7303097694886045"/>
  </r>
  <r>
    <d v="2015-02-27T00:00:00"/>
    <x v="2"/>
    <x v="2"/>
    <x v="4"/>
    <n v="307540.6752"/>
    <n v="324997.33649999998"/>
    <n v="8156"/>
    <n v="37.707292202059833"/>
    <x v="1"/>
    <n v="-5.6762121916548285"/>
    <n v="39.847638119176061"/>
    <n v="-5.6762121916548214"/>
  </r>
  <r>
    <d v="2015-02-28T00:00:00"/>
    <x v="2"/>
    <x v="2"/>
    <x v="5"/>
    <n v="350898.7635"/>
    <n v="375030.63549999997"/>
    <n v="9296"/>
    <n v="37.747285230206543"/>
    <x v="1"/>
    <n v="-6.8771607398382795"/>
    <n v="40.343226710413077"/>
    <n v="-6.8771607398382688"/>
  </r>
  <r>
    <d v="2015-03-01T00:00:00"/>
    <x v="3"/>
    <x v="2"/>
    <x v="6"/>
    <n v="256701.54269999999"/>
    <n v="276569.25040000002"/>
    <n v="6803"/>
    <n v="37.733579700132296"/>
    <x v="1"/>
    <n v="-7.7396136739306121"/>
    <n v="40.654012994267241"/>
    <n v="-7.7396136739306121"/>
  </r>
  <r>
    <d v="2015-03-02T00:00:00"/>
    <x v="3"/>
    <x v="2"/>
    <x v="0"/>
    <n v="234705.59280000001"/>
    <n v="252709.82310000001"/>
    <n v="6221"/>
    <n v="37.727952547821893"/>
    <x v="1"/>
    <n v="-7.6709847793622732"/>
    <n v="40.622058045330334"/>
    <n v="-7.6709847793622803"/>
  </r>
  <r>
    <d v="2015-03-03T00:00:00"/>
    <x v="3"/>
    <x v="2"/>
    <x v="1"/>
    <n v="249380.56539999999"/>
    <n v="268761.83240000001"/>
    <n v="6611"/>
    <n v="37.722064044773859"/>
    <x v="1"/>
    <n v="-7.7717631961067095"/>
    <n v="40.653733535017395"/>
    <n v="-7.7717631961067069"/>
  </r>
  <r>
    <d v="2015-03-04T00:00:00"/>
    <x v="3"/>
    <x v="2"/>
    <x v="2"/>
    <n v="258211.4442"/>
    <n v="278825.6067"/>
    <n v="6843"/>
    <n v="37.733661288908372"/>
    <x v="1"/>
    <n v="-7.9834426254295376"/>
    <n v="40.746106488382289"/>
    <n v="-7.9834426254295394"/>
  </r>
  <r>
    <d v="2015-03-05T00:00:00"/>
    <x v="3"/>
    <x v="2"/>
    <x v="3"/>
    <n v="145975.8339"/>
    <n v="157578.00589999999"/>
    <n v="3858"/>
    <n v="37.837178304821151"/>
    <x v="1"/>
    <n v="-7.9480087148863285"/>
    <n v="40.844480533955412"/>
    <n v="-7.9480087148863205"/>
  </r>
  <r>
    <d v="2015-03-06T00:00:00"/>
    <x v="3"/>
    <x v="2"/>
    <x v="4"/>
    <n v="269239.85259999998"/>
    <n v="291365.01760000002"/>
    <n v="7128"/>
    <n v="37.772145426487093"/>
    <x v="1"/>
    <n v="-8.2176411799149971"/>
    <n v="40.876124803591473"/>
    <n v="-8.2176411799149918"/>
  </r>
  <r>
    <d v="2015-03-07T00:00:00"/>
    <x v="3"/>
    <x v="2"/>
    <x v="5"/>
    <n v="306920.21159999998"/>
    <n v="332242.41159999999"/>
    <n v="8127"/>
    <n v="37.765499150978215"/>
    <x v="1"/>
    <n v="-8.2504178750540174"/>
    <n v="40.881310643533901"/>
    <n v="-8.2504178750540333"/>
  </r>
  <r>
    <d v="2015-03-08T00:00:00"/>
    <x v="3"/>
    <x v="2"/>
    <x v="6"/>
    <n v="122106.7956"/>
    <n v="121394.8122"/>
    <n v="2966"/>
    <n v="41.168845448415375"/>
    <x v="2"/>
    <n v="0.58308253566191959"/>
    <n v="40.928797100472018"/>
    <n v="0.58308253566192048"/>
  </r>
  <r>
    <d v="2015-03-09T00:00:00"/>
    <x v="3"/>
    <x v="2"/>
    <x v="0"/>
    <n v="117661.28079999999"/>
    <n v="116861.1583"/>
    <n v="2858"/>
    <n v="41.169097550734776"/>
    <x v="2"/>
    <n v="0.68002191932624079"/>
    <n v="40.889138663400978"/>
    <n v="0.68002191932623868"/>
  </r>
  <r>
    <d v="2015-03-10T00:00:00"/>
    <x v="3"/>
    <x v="2"/>
    <x v="1"/>
    <n v="62499.799169999998"/>
    <n v="62073.872649999998"/>
    <n v="1518"/>
    <n v="41.172463221343875"/>
    <x v="2"/>
    <n v="0.68148462180090708"/>
    <n v="40.891879216073782"/>
    <n v="0.6814846218009073"/>
  </r>
  <r>
    <d v="2015-03-11T00:00:00"/>
    <x v="3"/>
    <x v="2"/>
    <x v="2"/>
    <n v="57063.984120000001"/>
    <n v="56638.281369999997"/>
    <n v="1386"/>
    <n v="41.171705714285714"/>
    <x v="2"/>
    <n v="0.74600951294391327"/>
    <n v="40.864560873015868"/>
    <n v="0.74600951294391737"/>
  </r>
  <r>
    <d v="2015-03-12T00:00:00"/>
    <x v="3"/>
    <x v="2"/>
    <x v="3"/>
    <n v="48008.482839999997"/>
    <n v="47681.672079999997"/>
    <n v="1166"/>
    <n v="41.173655951972556"/>
    <x v="2"/>
    <n v="0.6807354464609453"/>
    <n v="40.893372281303598"/>
    <n v="0.68073544646095396"/>
  </r>
  <r>
    <d v="2015-03-13T00:00:00"/>
    <x v="3"/>
    <x v="2"/>
    <x v="4"/>
    <n v="117446.8391"/>
    <n v="116681.1416"/>
    <n v="2853"/>
    <n v="41.166084507535928"/>
    <x v="2"/>
    <n v="0.65195241171883933"/>
    <n v="40.897701226778828"/>
    <n v="0.65195241171884766"/>
  </r>
  <r>
    <d v="2015-03-14T00:00:00"/>
    <x v="3"/>
    <x v="2"/>
    <x v="5"/>
    <n v="150591.54790000001"/>
    <n v="149573.82759999999"/>
    <n v="3657"/>
    <n v="41.178984933005196"/>
    <x v="2"/>
    <n v="0.67581502029305818"/>
    <n v="40.900691167623734"/>
    <n v="0.67581502029305418"/>
  </r>
  <r>
    <d v="2015-03-15T00:00:00"/>
    <x v="3"/>
    <x v="2"/>
    <x v="6"/>
    <n v="67152.474950000003"/>
    <n v="66802.983219999995"/>
    <n v="1631"/>
    <n v="41.172578142244021"/>
    <x v="2"/>
    <n v="0.52044504727522156"/>
    <n v="40.958297498467196"/>
    <n v="0.52044504727520913"/>
  </r>
  <r>
    <d v="2015-03-16T00:00:00"/>
    <x v="3"/>
    <x v="2"/>
    <x v="0"/>
    <n v="80635.289250000002"/>
    <n v="80121.290519999995"/>
    <n v="1959"/>
    <n v="41.16145444104135"/>
    <x v="2"/>
    <n v="0.63743645590011522"/>
    <n v="40.899076324655432"/>
    <n v="0.63743645590012299"/>
  </r>
  <r>
    <d v="2015-03-17T00:00:00"/>
    <x v="3"/>
    <x v="2"/>
    <x v="1"/>
    <n v="50669.6371"/>
    <n v="50308.957049999997"/>
    <n v="1230"/>
    <n v="41.194826910569105"/>
    <x v="2"/>
    <n v="0.71182678748650974"/>
    <n v="40.901591097560974"/>
    <n v="0.71182678748650707"/>
  </r>
  <r>
    <d v="2015-03-18T00:00:00"/>
    <x v="3"/>
    <x v="2"/>
    <x v="2"/>
    <n v="48648.992660000004"/>
    <n v="48362.068789999998"/>
    <n v="1182"/>
    <n v="41.158200219966162"/>
    <x v="2"/>
    <n v="0.58978378443572477"/>
    <n v="40.915455829103216"/>
    <n v="0.589783784435716"/>
  </r>
  <r>
    <d v="2015-03-19T00:00:00"/>
    <x v="3"/>
    <x v="2"/>
    <x v="3"/>
    <n v="43213.177620000002"/>
    <n v="42981.216849999997"/>
    <n v="1050"/>
    <n v="41.155407257142862"/>
    <x v="2"/>
    <n v="0.53678248806366102"/>
    <n v="40.934492238095238"/>
    <n v="0.53678248806366025"/>
  </r>
  <r>
    <d v="2015-03-20T00:00:00"/>
    <x v="3"/>
    <x v="2"/>
    <x v="4"/>
    <n v="96881.018089999998"/>
    <n v="96453.287280000004"/>
    <n v="2353"/>
    <n v="41.173403353166172"/>
    <x v="2"/>
    <n v="0.44150115103315973"/>
    <n v="40.991622303442419"/>
    <n v="0.44150115103315696"/>
  </r>
  <r>
    <d v="2015-03-21T00:00:00"/>
    <x v="3"/>
    <x v="2"/>
    <x v="5"/>
    <n v="121360.8851"/>
    <n v="120829.288"/>
    <n v="2947"/>
    <n v="41.181162232779094"/>
    <x v="2"/>
    <n v="0.43803001235692129"/>
    <n v="41.000776382762133"/>
    <n v="0.43803001235690908"/>
  </r>
  <r>
    <d v="2015-03-22T00:00:00"/>
    <x v="3"/>
    <x v="2"/>
    <x v="6"/>
    <n v="66954.366370000003"/>
    <n v="66756.376439999993"/>
    <n v="1626"/>
    <n v="41.177347091020913"/>
    <x v="2"/>
    <n v="0.29570876513995847"/>
    <n v="41.055582066420662"/>
    <n v="0.29570876513995376"/>
  </r>
  <r>
    <d v="2015-03-23T00:00:00"/>
    <x v="3"/>
    <x v="2"/>
    <x v="0"/>
    <n v="81342.150760000004"/>
    <n v="81132.012900000002"/>
    <n v="1976"/>
    <n v="41.165056052631584"/>
    <x v="2"/>
    <n v="0.25833821461152934"/>
    <n v="41.058710981781374"/>
    <n v="0.25833821461154527"/>
  </r>
  <r>
    <d v="2015-03-24T00:00:00"/>
    <x v="3"/>
    <x v="2"/>
    <x v="1"/>
    <n v="125060.70789999999"/>
    <n v="136375.15270000001"/>
    <n v="3312"/>
    <n v="37.759875573671493"/>
    <x v="1"/>
    <n v="-9.0471619663685061"/>
    <n v="41.176072675120771"/>
    <n v="-9.0471619663685026"/>
  </r>
  <r>
    <d v="2015-03-25T00:00:00"/>
    <x v="3"/>
    <x v="2"/>
    <x v="2"/>
    <n v="253218.83119999999"/>
    <n v="276194.82949999999"/>
    <n v="6704"/>
    <n v="37.771305369928399"/>
    <x v="1"/>
    <n v="-9.0735741062847186"/>
    <n v="41.198512753579948"/>
    <n v="-9.073574106284708"/>
  </r>
  <r>
    <d v="2015-03-26T00:00:00"/>
    <x v="3"/>
    <x v="2"/>
    <x v="3"/>
    <n v="229184.4719"/>
    <n v="250361.1502"/>
    <n v="6077"/>
    <n v="37.713423054138559"/>
    <x v="1"/>
    <n v="-9.2400144409609108"/>
    <n v="41.198148790521643"/>
    <n v="-9.2400144409609091"/>
  </r>
  <r>
    <d v="2015-03-27T00:00:00"/>
    <x v="3"/>
    <x v="2"/>
    <x v="4"/>
    <n v="354191.35100000002"/>
    <n v="386464.65130000003"/>
    <n v="9386"/>
    <n v="37.736133709780525"/>
    <x v="1"/>
    <n v="-9.1118261947621644"/>
    <n v="41.174584626038786"/>
    <n v="-9.1118261947621768"/>
  </r>
  <r>
    <d v="2015-03-28T00:00:00"/>
    <x v="3"/>
    <x v="2"/>
    <x v="5"/>
    <n v="459484.6666"/>
    <n v="501362.57250000001"/>
    <n v="12181"/>
    <n v="37.721424070273379"/>
    <x v="1"/>
    <n v="-9.114103025434888"/>
    <n v="41.15939352269929"/>
    <n v="-9.1141030254348898"/>
  </r>
  <r>
    <d v="2015-03-29T00:00:00"/>
    <x v="3"/>
    <x v="2"/>
    <x v="6"/>
    <n v="224102.8885"/>
    <n v="244359.8075"/>
    <n v="5937"/>
    <n v="37.746823058783896"/>
    <x v="1"/>
    <n v="-9.0391155310789291"/>
    <n v="41.158802004379318"/>
    <n v="-9.0391155310789415"/>
  </r>
  <r>
    <d v="2015-03-30T00:00:00"/>
    <x v="3"/>
    <x v="2"/>
    <x v="0"/>
    <n v="215203.5588"/>
    <n v="234819.4474"/>
    <n v="5706"/>
    <n v="37.715309989484751"/>
    <x v="1"/>
    <n v="-9.115039132893747"/>
    <n v="41.15307525411847"/>
    <n v="-9.1150391328937435"/>
  </r>
  <r>
    <d v="2015-03-31T00:00:00"/>
    <x v="3"/>
    <x v="2"/>
    <x v="1"/>
    <n v="355534.91200000001"/>
    <n v="386988.91470000002"/>
    <n v="9421"/>
    <n v="37.738553444432654"/>
    <x v="1"/>
    <n v="-8.8469519134030943"/>
    <n v="41.077265120475538"/>
    <n v="-8.8469519134030943"/>
  </r>
  <r>
    <d v="2015-04-01T00:00:00"/>
    <x v="4"/>
    <x v="2"/>
    <x v="2"/>
    <n v="498894.34389999998"/>
    <n v="542483.8358"/>
    <n v="13207"/>
    <n v="37.774993859317028"/>
    <x v="1"/>
    <n v="-8.7372190991881116"/>
    <n v="41.075477837510412"/>
    <n v="-8.7372190991881116"/>
  </r>
  <r>
    <d v="2015-04-02T00:00:00"/>
    <x v="4"/>
    <x v="2"/>
    <x v="3"/>
    <n v="715032.1899"/>
    <n v="777522.19279999996"/>
    <n v="18936"/>
    <n v="37.760466302281365"/>
    <x v="1"/>
    <n v="-8.7394670873124518"/>
    <n v="41.060529826784958"/>
    <n v="-8.7394670873124607"/>
  </r>
  <r>
    <d v="2015-04-03T00:00:00"/>
    <x v="4"/>
    <x v="2"/>
    <x v="4"/>
    <n v="510289.2156"/>
    <n v="554159.81940000004"/>
    <n v="13503"/>
    <n v="37.790803199289044"/>
    <x v="1"/>
    <n v="-8.5972037932286742"/>
    <n v="41.039755565429907"/>
    <n v="-8.5972037932286796"/>
  </r>
  <r>
    <d v="2015-04-04T00:00:00"/>
    <x v="4"/>
    <x v="2"/>
    <x v="5"/>
    <n v="400302.03950000001"/>
    <n v="434872.72889999999"/>
    <n v="10600"/>
    <n v="37.764343349056603"/>
    <x v="1"/>
    <n v="-8.6361512030217806"/>
    <n v="41.02572914150943"/>
    <n v="-8.6361512030217806"/>
  </r>
  <r>
    <d v="2015-04-05T00:00:00"/>
    <x v="4"/>
    <x v="2"/>
    <x v="6"/>
    <n v="135578.2034"/>
    <n v="147335.92509999999"/>
    <n v="3591"/>
    <n v="37.75499955444166"/>
    <x v="1"/>
    <n v="-8.6722802081326247"/>
    <n v="41.029218908382063"/>
    <n v="-8.6722802081326194"/>
  </r>
  <r>
    <d v="2015-04-06T00:00:00"/>
    <x v="4"/>
    <x v="2"/>
    <x v="0"/>
    <n v="182466.25520000001"/>
    <n v="198405.2291"/>
    <n v="4836"/>
    <n v="37.730822001654261"/>
    <x v="1"/>
    <n v="-8.7352995119724373"/>
    <n v="41.026722311827953"/>
    <n v="-8.7352995119724337"/>
  </r>
  <r>
    <d v="2015-04-07T00:00:00"/>
    <x v="4"/>
    <x v="2"/>
    <x v="1"/>
    <n v="176814.20259999999"/>
    <n v="178390.14910000001"/>
    <n v="4348"/>
    <n v="40.665639972401102"/>
    <x v="2"/>
    <n v="-0.89130085526286784"/>
    <n v="41.028093169273234"/>
    <n v="-0.89130085526287206"/>
  </r>
  <r>
    <d v="2015-04-08T00:00:00"/>
    <x v="4"/>
    <x v="2"/>
    <x v="2"/>
    <n v="100917.6716"/>
    <n v="100579.1289"/>
    <n v="2451"/>
    <n v="41.174080620155038"/>
    <x v="2"/>
    <n v="0.33546423994190272"/>
    <n v="41.035956303549568"/>
    <n v="0.33546423994190472"/>
  </r>
  <r>
    <d v="2015-04-09T00:00:00"/>
    <x v="4"/>
    <x v="2"/>
    <x v="3"/>
    <n v="74690.672730000006"/>
    <n v="74427.58597"/>
    <n v="1814"/>
    <n v="41.17457151598677"/>
    <x v="2"/>
    <n v="0.35223509225983318"/>
    <n v="41.029540226019847"/>
    <n v="0.35223509225982302"/>
  </r>
  <r>
    <d v="2015-04-10T00:00:00"/>
    <x v="4"/>
    <x v="2"/>
    <x v="4"/>
    <n v="114067.07709999999"/>
    <n v="113653.9736"/>
    <n v="2770"/>
    <n v="41.179450216606497"/>
    <x v="2"/>
    <n v="0.36215839881461942"/>
    <n v="41.030315379061371"/>
    <n v="0.36215839881462247"/>
  </r>
  <r>
    <d v="2015-04-11T00:00:00"/>
    <x v="4"/>
    <x v="2"/>
    <x v="5"/>
    <n v="126507.8009"/>
    <n v="126043.7692"/>
    <n v="3072"/>
    <n v="41.18092477213542"/>
    <x v="2"/>
    <n v="0.3668008586812822"/>
    <n v="41.029872786458334"/>
    <n v="0.36680085868128215"/>
  </r>
  <r>
    <d v="2015-04-12T00:00:00"/>
    <x v="4"/>
    <x v="2"/>
    <x v="6"/>
    <n v="79648.629390000002"/>
    <n v="79349.402449999994"/>
    <n v="1934"/>
    <n v="41.183365765253363"/>
    <x v="2"/>
    <n v="0.37568372775737446"/>
    <n v="41.0286465615305"/>
    <n v="0.37568372775738523"/>
  </r>
  <r>
    <d v="2015-04-13T00:00:00"/>
    <x v="4"/>
    <x v="2"/>
    <x v="0"/>
    <n v="83137.432430000001"/>
    <n v="82700.354170000006"/>
    <n v="2019"/>
    <n v="41.177529683011393"/>
    <x v="2"/>
    <n v="0.52572980332055075"/>
    <n v="40.961047137196637"/>
    <n v="0.52572980332054819"/>
  </r>
  <r>
    <d v="2015-04-14T00:00:00"/>
    <x v="4"/>
    <x v="2"/>
    <x v="1"/>
    <n v="40776.02706"/>
    <n v="39940.19958"/>
    <n v="979"/>
    <n v="41.650691583248211"/>
    <x v="2"/>
    <n v="2.0498011705998702"/>
    <n v="40.796935219611846"/>
    <n v="2.0498011705998724"/>
  </r>
  <r>
    <d v="2015-04-15T00:00:00"/>
    <x v="4"/>
    <x v="2"/>
    <x v="2"/>
    <n v="58278.457929999997"/>
    <n v="56969.922590000002"/>
    <n v="1398"/>
    <n v="41.687022839771096"/>
    <x v="2"/>
    <n v="2.2453156560383185"/>
    <n v="40.751017589413451"/>
    <n v="2.2453156560383074"/>
  </r>
  <r>
    <d v="2015-04-16T00:00:00"/>
    <x v="4"/>
    <x v="2"/>
    <x v="3"/>
    <n v="50000.101439999999"/>
    <n v="48827.88538"/>
    <n v="1198"/>
    <n v="41.736311719532551"/>
    <x v="2"/>
    <n v="2.3444273636257624"/>
    <n v="40.757834207011683"/>
    <n v="2.3444273636257651"/>
  </r>
  <r>
    <d v="2015-04-17T00:00:00"/>
    <x v="4"/>
    <x v="2"/>
    <x v="4"/>
    <n v="103911.9191"/>
    <n v="101408.94960000001"/>
    <n v="2485"/>
    <n v="41.815661609657944"/>
    <x v="2"/>
    <n v="2.4087414818999258"/>
    <n v="40.808430422535217"/>
    <n v="2.4087414818999111"/>
  </r>
  <r>
    <d v="2015-04-18T00:00:00"/>
    <x v="4"/>
    <x v="2"/>
    <x v="5"/>
    <n v="132843.22260000001"/>
    <n v="129545.5321"/>
    <n v="3172"/>
    <n v="41.879956683480458"/>
    <x v="2"/>
    <n v="2.4823927299095883"/>
    <n v="40.84033168348045"/>
    <n v="2.4823927299095985"/>
  </r>
  <r>
    <d v="2015-04-19T00:00:00"/>
    <x v="4"/>
    <x v="2"/>
    <x v="6"/>
    <n v="62786.611279999997"/>
    <n v="61213.25591"/>
    <n v="1497"/>
    <n v="41.941624101536405"/>
    <x v="2"/>
    <n v="2.5058771893000267"/>
    <n v="40.890618510354038"/>
    <n v="2.505877189300036"/>
  </r>
  <r>
    <d v="2015-04-20T00:00:00"/>
    <x v="4"/>
    <x v="2"/>
    <x v="0"/>
    <n v="57233.406640000001"/>
    <n v="55706.87543"/>
    <n v="1365"/>
    <n v="41.929235633699633"/>
    <x v="2"/>
    <n v="2.6672031242206713"/>
    <n v="40.81089775091575"/>
    <n v="2.6672031242206717"/>
  </r>
  <r>
    <d v="2015-04-21T00:00:00"/>
    <x v="4"/>
    <x v="2"/>
    <x v="1"/>
    <n v="56874.345459999997"/>
    <n v="55172.17123"/>
    <n v="1353"/>
    <n v="42.03573204730229"/>
    <x v="2"/>
    <n v="2.9928682541008658"/>
    <n v="40.777657967479676"/>
    <n v="2.9928682541008631"/>
  </r>
  <r>
    <d v="2015-04-22T00:00:00"/>
    <x v="4"/>
    <x v="2"/>
    <x v="2"/>
    <n v="132737.73699999999"/>
    <n v="140263.9301"/>
    <n v="3439"/>
    <n v="38.597771735969758"/>
    <x v="1"/>
    <n v="-5.6699724359471366"/>
    <n v="40.78625475428904"/>
    <n v="-5.669972435947142"/>
  </r>
  <r>
    <d v="2015-04-23T00:00:00"/>
    <x v="4"/>
    <x v="2"/>
    <x v="3"/>
    <n v="60310.338949999998"/>
    <n v="58446.054929999998"/>
    <n v="1434"/>
    <n v="42.057419072524404"/>
    <x v="2"/>
    <n v="3.091151620861516"/>
    <n v="40.757360481171546"/>
    <n v="3.0911516208615151"/>
  </r>
  <r>
    <d v="2015-04-24T00:00:00"/>
    <x v="4"/>
    <x v="2"/>
    <x v="4"/>
    <n v="343587.0085"/>
    <n v="362390.59600000002"/>
    <n v="8892"/>
    <n v="38.64001445119208"/>
    <x v="1"/>
    <n v="-5.4727294789436209"/>
    <n v="40.75467791273055"/>
    <n v="-5.472729478943636"/>
  </r>
  <r>
    <d v="2015-04-25T00:00:00"/>
    <x v="4"/>
    <x v="2"/>
    <x v="5"/>
    <n v="496882.315"/>
    <n v="535306.00989999995"/>
    <n v="13144"/>
    <n v="37.802975882531953"/>
    <x v="1"/>
    <n v="-7.7329568270104243"/>
    <n v="40.726263686853315"/>
    <n v="-7.7329568270104314"/>
  </r>
  <r>
    <d v="2015-04-26T00:00:00"/>
    <x v="4"/>
    <x v="2"/>
    <x v="6"/>
    <n v="200369.82990000001"/>
    <n v="210964.76809999999"/>
    <n v="5179"/>
    <n v="38.688903243869476"/>
    <x v="1"/>
    <n v="-5.2876913681504174"/>
    <n v="40.734653041127629"/>
    <n v="-5.2876913681504183"/>
  </r>
  <r>
    <d v="2015-04-27T00:00:00"/>
    <x v="4"/>
    <x v="2"/>
    <x v="0"/>
    <n v="194028.0618"/>
    <n v="204053.49890000001"/>
    <n v="5014"/>
    <n v="38.697260031910652"/>
    <x v="1"/>
    <n v="-5.1670036833816431"/>
    <n v="40.696748883127242"/>
    <n v="-5.167003683381628"/>
  </r>
  <r>
    <d v="2015-04-28T00:00:00"/>
    <x v="4"/>
    <x v="2"/>
    <x v="1"/>
    <n v="190560.57920000001"/>
    <n v="200804.0368"/>
    <n v="4936"/>
    <n v="38.60627617504052"/>
    <x v="1"/>
    <n v="-5.3754337035516286"/>
    <n v="40.681530956239868"/>
    <n v="-5.3754337035516224"/>
  </r>
  <r>
    <d v="2015-04-29T00:00:00"/>
    <x v="4"/>
    <x v="2"/>
    <x v="2"/>
    <n v="198985.3996"/>
    <n v="209483.87580000001"/>
    <n v="5150"/>
    <n v="38.637941669902915"/>
    <x v="1"/>
    <n v="-5.2760032751669312"/>
    <n v="40.676480737864082"/>
    <n v="-5.2760032751669339"/>
  </r>
  <r>
    <d v="2015-04-30T00:00:00"/>
    <x v="4"/>
    <x v="2"/>
    <x v="3"/>
    <n v="385482.87199999997"/>
    <n v="406252.00760000001"/>
    <n v="9986"/>
    <n v="38.602330462647707"/>
    <x v="1"/>
    <n v="-5.387823197498653"/>
    <n v="40.682155778089324"/>
    <n v="-5.3878231974986406"/>
  </r>
  <r>
    <d v="2015-05-01T00:00:00"/>
    <x v="5"/>
    <x v="2"/>
    <x v="4"/>
    <n v="499703.41470000002"/>
    <n v="526206.93720000004"/>
    <n v="12937"/>
    <n v="38.62591131637938"/>
    <x v="1"/>
    <n v="-5.3038505882357381"/>
    <n v="40.674571940944581"/>
    <n v="-5.3038505882357354"/>
  </r>
  <r>
    <d v="2015-05-02T00:00:00"/>
    <x v="5"/>
    <x v="2"/>
    <x v="5"/>
    <n v="461667.00390000001"/>
    <n v="496852.80200000003"/>
    <n v="12217"/>
    <n v="37.788901031349759"/>
    <x v="1"/>
    <n v="-7.6214669453876507"/>
    <n v="40.668969632479332"/>
    <n v="-7.6214669453876436"/>
  </r>
  <r>
    <d v="2015-05-03T00:00:00"/>
    <x v="5"/>
    <x v="2"/>
    <x v="6"/>
    <n v="259541.60870000001"/>
    <n v="273280.04639999999"/>
    <n v="6721"/>
    <n v="38.616516693944355"/>
    <x v="1"/>
    <n v="-5.2933469006428258"/>
    <n v="40.660622883499478"/>
    <n v="-5.2933469006428258"/>
  </r>
  <r>
    <d v="2015-05-04T00:00:00"/>
    <x v="5"/>
    <x v="2"/>
    <x v="0"/>
    <n v="320309.27439999999"/>
    <n v="336742.60239999997"/>
    <n v="8283"/>
    <n v="38.67068385850537"/>
    <x v="1"/>
    <n v="-5.1304565035722796"/>
    <n v="40.654666473499937"/>
    <n v="-5.1304565035722849"/>
  </r>
  <r>
    <d v="2015-05-05T00:00:00"/>
    <x v="5"/>
    <x v="2"/>
    <x v="1"/>
    <n v="239922.9982"/>
    <n v="251700.9664"/>
    <n v="6191"/>
    <n v="38.753512873526084"/>
    <x v="1"/>
    <n v="-4.9090617774715701"/>
    <n v="40.655946761427877"/>
    <n v="-4.9090617774715701"/>
  </r>
  <r>
    <d v="2015-05-06T00:00:00"/>
    <x v="5"/>
    <x v="2"/>
    <x v="2"/>
    <n v="224994.19510000001"/>
    <n v="242259.85949999999"/>
    <n v="5959"/>
    <n v="37.75703894948817"/>
    <x v="1"/>
    <n v="-7.6738266035379947"/>
    <n v="40.6544486491022"/>
    <n v="-7.6738266035380072"/>
  </r>
  <r>
    <d v="2015-05-07T00:00:00"/>
    <x v="5"/>
    <x v="2"/>
    <x v="3"/>
    <n v="117197.97169999999"/>
    <n v="115769.0863"/>
    <n v="2848"/>
    <n v="41.150973209269658"/>
    <x v="2"/>
    <n v="1.2192065948526984"/>
    <n v="40.649257830056179"/>
    <n v="1.2192065948526896"/>
  </r>
  <r>
    <d v="2015-05-08T00:00:00"/>
    <x v="5"/>
    <x v="2"/>
    <x v="4"/>
    <n v="330589.1998"/>
    <n v="355565.0417"/>
    <n v="8748"/>
    <n v="37.790260608139"/>
    <x v="1"/>
    <n v="-7.5549479278542355"/>
    <n v="40.64529511888432"/>
    <n v="-7.5549479278542542"/>
  </r>
  <r>
    <d v="2015-05-09T00:00:00"/>
    <x v="5"/>
    <x v="2"/>
    <x v="5"/>
    <n v="389972.11979999999"/>
    <n v="419827.13650000002"/>
    <n v="10329"/>
    <n v="37.755070171362185"/>
    <x v="1"/>
    <n v="-7.6556797740595917"/>
    <n v="40.645477442153165"/>
    <n v="-7.6556797740595917"/>
  </r>
  <r>
    <d v="2015-05-10T00:00:00"/>
    <x v="5"/>
    <x v="2"/>
    <x v="6"/>
    <n v="166536.00030000001"/>
    <n v="179243.05179999999"/>
    <n v="4410"/>
    <n v="37.763265374149661"/>
    <x v="1"/>
    <n v="-7.6302129732366168"/>
    <n v="40.644682947845801"/>
    <n v="-7.6302129732366204"/>
  </r>
  <r>
    <d v="2015-05-11T00:00:00"/>
    <x v="5"/>
    <x v="2"/>
    <x v="0"/>
    <n v="198442.91269999999"/>
    <n v="213676.4284"/>
    <n v="5257"/>
    <n v="37.748318946167011"/>
    <x v="1"/>
    <n v="-7.6765229318265389"/>
    <n v="40.646077306448547"/>
    <n v="-7.6765229318265478"/>
  </r>
  <r>
    <d v="2015-05-12T00:00:00"/>
    <x v="5"/>
    <x v="2"/>
    <x v="1"/>
    <n v="193182.15059999999"/>
    <n v="208039.1734"/>
    <n v="5118"/>
    <n v="37.74563317702227"/>
    <x v="1"/>
    <n v="-7.690680921532306"/>
    <n v="40.64852938647909"/>
    <n v="-7.690680921532306"/>
  </r>
  <r>
    <d v="2015-05-13T00:00:00"/>
    <x v="5"/>
    <x v="2"/>
    <x v="2"/>
    <n v="166403.12700000001"/>
    <n v="179221.5723"/>
    <n v="4410"/>
    <n v="37.733135374149661"/>
    <x v="1"/>
    <n v="-7.7032478482210207"/>
    <n v="40.639812312925173"/>
    <n v="-7.7032478482210287"/>
  </r>
  <r>
    <d v="2015-05-14T00:00:00"/>
    <x v="5"/>
    <x v="2"/>
    <x v="3"/>
    <n v="149178.60149999999"/>
    <n v="160620.2071"/>
    <n v="3952"/>
    <n v="37.747621837044534"/>
    <x v="1"/>
    <n v="-7.6697364668618446"/>
    <n v="40.64276495445344"/>
    <n v="-7.6697364668618375"/>
  </r>
  <r>
    <d v="2015-05-15T00:00:00"/>
    <x v="5"/>
    <x v="2"/>
    <x v="4"/>
    <n v="380592.57760000002"/>
    <n v="409812.4327"/>
    <n v="10084"/>
    <n v="37.742223086076955"/>
    <x v="1"/>
    <n v="-7.6774632033706753"/>
    <n v="40.639868375644589"/>
    <n v="-7.6774632033706869"/>
  </r>
  <r>
    <d v="2015-05-16T00:00:00"/>
    <x v="5"/>
    <x v="2"/>
    <x v="5"/>
    <n v="413700.1789"/>
    <n v="445569.71909999999"/>
    <n v="10964"/>
    <n v="37.732595667639551"/>
    <x v="1"/>
    <n v="-7.7035355132644323"/>
    <n v="40.639339574972638"/>
    <n v="-7.703535513264427"/>
  </r>
  <r>
    <d v="2015-05-17T00:00:00"/>
    <x v="5"/>
    <x v="2"/>
    <x v="6"/>
    <n v="177159.67310000001"/>
    <n v="190811.5779"/>
    <n v="4695"/>
    <n v="37.733689691160812"/>
    <x v="1"/>
    <n v="-7.7059889314053995"/>
    <n v="40.641443642172526"/>
    <n v="-7.7059889314054022"/>
  </r>
  <r>
    <d v="2015-05-18T00:00:00"/>
    <x v="5"/>
    <x v="2"/>
    <x v="0"/>
    <n v="196420.7635"/>
    <n v="211510.7861"/>
    <n v="5205"/>
    <n v="37.736938232468781"/>
    <x v="1"/>
    <n v="-7.6824986987691846"/>
    <n v="40.636078021133528"/>
    <n v="-7.6824986987691908"/>
  </r>
  <r>
    <d v="2015-05-19T00:00:00"/>
    <x v="5"/>
    <x v="2"/>
    <x v="1"/>
    <n v="137940.87220000001"/>
    <n v="147846.05220000001"/>
    <n v="3638"/>
    <n v="37.916677350192415"/>
    <x v="1"/>
    <n v="-7.1807433446110913"/>
    <n v="40.639376635514019"/>
    <n v="-7.1807433446110913"/>
  </r>
  <r>
    <d v="2015-05-20T00:00:00"/>
    <x v="5"/>
    <x v="2"/>
    <x v="2"/>
    <n v="166176.2838"/>
    <n v="178568.18049999999"/>
    <n v="4394"/>
    <n v="37.818908466090122"/>
    <x v="1"/>
    <n v="-7.4570789625516847"/>
    <n v="40.63909433318161"/>
    <n v="-7.4570789625516953"/>
  </r>
  <r>
    <d v="2015-05-21T00:00:00"/>
    <x v="5"/>
    <x v="2"/>
    <x v="3"/>
    <n v="84604.377569999997"/>
    <n v="81763.267389999994"/>
    <n v="2012"/>
    <n v="42.04988944831014"/>
    <x v="2"/>
    <n v="3.3581125015065854"/>
    <n v="40.637806853876739"/>
    <n v="3.3581125015065827"/>
  </r>
  <r>
    <d v="2015-05-22T00:00:00"/>
    <x v="5"/>
    <x v="2"/>
    <x v="4"/>
    <n v="321821.02029999997"/>
    <n v="346487.52029999997"/>
    <n v="8526"/>
    <n v="37.745838646493077"/>
    <x v="1"/>
    <n v="-7.6646640349987107"/>
    <n v="40.638930365939473"/>
    <n v="-7.6646640349987027"/>
  </r>
  <r>
    <d v="2015-05-23T00:00:00"/>
    <x v="5"/>
    <x v="2"/>
    <x v="5"/>
    <n v="418715.4106"/>
    <n v="450936.27929999999"/>
    <n v="11096"/>
    <n v="37.735707516222064"/>
    <x v="1"/>
    <n v="-7.6951714420610804"/>
    <n v="40.639534904470082"/>
    <n v="-7.6951714420610839"/>
  </r>
  <r>
    <d v="2015-05-24T00:00:00"/>
    <x v="5"/>
    <x v="2"/>
    <x v="6"/>
    <n v="169541.2659"/>
    <n v="182419.14139999999"/>
    <n v="4489"/>
    <n v="37.768159033192248"/>
    <x v="1"/>
    <n v="-7.595717438842124"/>
    <n v="40.636921675206061"/>
    <n v="-7.5957174388421311"/>
  </r>
  <r>
    <d v="2015-05-25T00:00:00"/>
    <x v="5"/>
    <x v="2"/>
    <x v="0"/>
    <n v="256434.5099"/>
    <n v="276173.79249999998"/>
    <n v="6795"/>
    <n v="37.738706387049305"/>
    <x v="1"/>
    <n v="-7.6975921094620094"/>
    <n v="40.643678072111847"/>
    <n v="-7.6975921094620068"/>
  </r>
  <r>
    <d v="2015-05-26T00:00:00"/>
    <x v="5"/>
    <x v="2"/>
    <x v="1"/>
    <n v="199385.9124"/>
    <n v="214719.75279999999"/>
    <n v="5283"/>
    <n v="37.741039636570129"/>
    <x v="1"/>
    <n v="-7.690533506318066"/>
    <n v="40.643526935453338"/>
    <n v="-7.6905335063180686"/>
  </r>
  <r>
    <d v="2015-05-27T00:00:00"/>
    <x v="5"/>
    <x v="2"/>
    <x v="2"/>
    <n v="243554.2243"/>
    <n v="262251.08010000002"/>
    <n v="6453"/>
    <n v="37.742790066635671"/>
    <x v="1"/>
    <n v="-7.6766707100797431"/>
    <n v="40.64017977684798"/>
    <n v="-7.6766707100797476"/>
  </r>
  <r>
    <d v="2015-05-28T00:00:00"/>
    <x v="5"/>
    <x v="2"/>
    <x v="3"/>
    <n v="217746.0129"/>
    <n v="234483.41699999999"/>
    <n v="5770"/>
    <n v="37.73761055459272"/>
    <x v="1"/>
    <n v="-7.6866638691045281"/>
    <n v="40.638373830155977"/>
    <n v="-7.6866638691045317"/>
  </r>
  <r>
    <d v="2015-05-29T00:00:00"/>
    <x v="5"/>
    <x v="2"/>
    <x v="4"/>
    <n v="472160.75209999998"/>
    <n v="508265.147"/>
    <n v="12507"/>
    <n v="37.75171920524506"/>
    <x v="1"/>
    <n v="-7.6466319446122419"/>
    <n v="40.638454225633645"/>
    <n v="-7.6466319446122446"/>
  </r>
  <r>
    <d v="2015-05-30T00:00:00"/>
    <x v="5"/>
    <x v="2"/>
    <x v="5"/>
    <n v="546135.46239999996"/>
    <n v="588250.18119999999"/>
    <n v="14475"/>
    <n v="37.729565623488774"/>
    <x v="1"/>
    <n v="-7.7114052647169817"/>
    <n v="40.639045333333335"/>
    <n v="-7.7114052647169791"/>
  </r>
  <r>
    <d v="2015-05-31T00:00:00"/>
    <x v="5"/>
    <x v="2"/>
    <x v="6"/>
    <n v="264637.3653"/>
    <n v="284828.65970000002"/>
    <n v="7009"/>
    <n v="37.756793451276927"/>
    <x v="1"/>
    <n v="-7.6297972423926694"/>
    <n v="40.637560236838354"/>
    <n v="-7.6297972423926801"/>
  </r>
  <r>
    <d v="2015-06-01T00:00:00"/>
    <x v="6"/>
    <x v="2"/>
    <x v="0"/>
    <n v="440905.9987"/>
    <n v="474967.32760000002"/>
    <n v="11688"/>
    <n v="37.722963612251881"/>
    <x v="1"/>
    <n v="-7.7253040331564948"/>
    <n v="40.637177241615333"/>
    <n v="-7.7253040331564966"/>
  </r>
  <r>
    <d v="2015-06-02T00:00:00"/>
    <x v="6"/>
    <x v="2"/>
    <x v="1"/>
    <n v="334318.89779999998"/>
    <n v="360168.82709999999"/>
    <n v="8863"/>
    <n v="37.720737650908269"/>
    <x v="1"/>
    <n v="-7.7321172898411072"/>
    <n v="40.63734932866975"/>
    <n v="-7.732117289841101"/>
  </r>
  <r>
    <d v="2015-06-03T00:00:00"/>
    <x v="6"/>
    <x v="2"/>
    <x v="2"/>
    <n v="269835.82860000001"/>
    <n v="290492.10629999998"/>
    <n v="7148"/>
    <n v="37.749836121992168"/>
    <x v="1"/>
    <n v="-7.655127863179537"/>
    <n v="40.639634345271404"/>
    <n v="-7.655127863179537"/>
  </r>
  <r>
    <d v="2015-06-04T00:00:00"/>
    <x v="6"/>
    <x v="2"/>
    <x v="3"/>
    <n v="201146.48929999999"/>
    <n v="216428.50039999999"/>
    <n v="5326"/>
    <n v="37.76689622606083"/>
    <x v="1"/>
    <n v="-7.5974535539656589"/>
    <n v="40.636218625610212"/>
    <n v="-7.5974535539656634"/>
  </r>
  <r>
    <d v="2015-06-05T00:00:00"/>
    <x v="6"/>
    <x v="2"/>
    <x v="4"/>
    <n v="293461.08390000003"/>
    <n v="315937.86219999997"/>
    <n v="7775"/>
    <n v="37.744190855305469"/>
    <x v="1"/>
    <n v="-7.6592023723524267"/>
    <n v="40.635094816720255"/>
    <n v="-7.6592023723524303"/>
  </r>
  <r>
    <d v="2015-06-06T00:00:00"/>
    <x v="6"/>
    <x v="2"/>
    <x v="5"/>
    <n v="349413.0098"/>
    <n v="376094.7218"/>
    <n v="9255"/>
    <n v="37.753971885467315"/>
    <x v="1"/>
    <n v="-7.6361529913474904"/>
    <n v="40.636922938951919"/>
    <n v="-7.6361529913474921"/>
  </r>
  <r>
    <d v="2015-06-07T00:00:00"/>
    <x v="6"/>
    <x v="2"/>
    <x v="6"/>
    <n v="179602.91519999999"/>
    <n v="193348.5914"/>
    <n v="4758"/>
    <n v="37.747565195460275"/>
    <x v="1"/>
    <n v="-7.6533703167864937"/>
    <n v="40.636526145439262"/>
    <n v="-7.6533703167864955"/>
  </r>
  <r>
    <d v="2015-06-08T00:00:00"/>
    <x v="6"/>
    <x v="2"/>
    <x v="0"/>
    <n v="109810.5457"/>
    <n v="106166.0816"/>
    <n v="2613"/>
    <n v="42.024701760428627"/>
    <x v="2"/>
    <n v="3.3188653027520632"/>
    <n v="40.629958515116726"/>
    <n v="3.3188653027520618"/>
  </r>
  <r>
    <d v="2015-06-09T00:00:00"/>
    <x v="6"/>
    <x v="2"/>
    <x v="1"/>
    <n v="76956.92035"/>
    <n v="74212.790569999997"/>
    <n v="1830"/>
    <n v="42.052961939890707"/>
    <x v="2"/>
    <n v="3.5657998884566888"/>
    <n v="40.553437469945351"/>
    <n v="3.5657998884566879"/>
  </r>
  <r>
    <d v="2015-06-10T00:00:00"/>
    <x v="6"/>
    <x v="2"/>
    <x v="2"/>
    <n v="71199.588399999993"/>
    <n v="68669.394960000005"/>
    <n v="1694"/>
    <n v="42.030453600944504"/>
    <x v="2"/>
    <n v="3.5536630152766286"/>
    <n v="40.536832916174738"/>
    <n v="3.5536630152766224"/>
  </r>
  <r>
    <d v="2015-06-11T00:00:00"/>
    <x v="6"/>
    <x v="2"/>
    <x v="3"/>
    <n v="68988.346669999999"/>
    <n v="66539.165200000003"/>
    <n v="1642"/>
    <n v="42.014827448233859"/>
    <x v="2"/>
    <n v="3.5501379409995883"/>
    <n v="40.523243118148599"/>
    <n v="3.5501379409995897"/>
  </r>
  <r>
    <d v="2015-06-12T00:00:00"/>
    <x v="6"/>
    <x v="2"/>
    <x v="4"/>
    <n v="155156.8792"/>
    <n v="149423.24359999999"/>
    <n v="3690"/>
    <n v="42.047934742547426"/>
    <x v="2"/>
    <n v="3.6953795600704562"/>
    <n v="40.494103956639563"/>
    <n v="3.6953795600704593"/>
  </r>
  <r>
    <d v="2015-06-13T00:00:00"/>
    <x v="6"/>
    <x v="2"/>
    <x v="5"/>
    <n v="185109.52309999999"/>
    <n v="178347.3694"/>
    <n v="4404"/>
    <n v="42.032135127157126"/>
    <x v="2"/>
    <n v="3.6530555461195475"/>
    <n v="40.496677883742052"/>
    <n v="3.6530555461195426"/>
  </r>
  <r>
    <d v="2015-06-14T00:00:00"/>
    <x v="6"/>
    <x v="2"/>
    <x v="6"/>
    <n v="83779.544009999998"/>
    <n v="80659.821809999994"/>
    <n v="1992"/>
    <n v="42.058004021084336"/>
    <x v="2"/>
    <n v="3.7237278345984204"/>
    <n v="40.491878418674695"/>
    <n v="3.7237278345984239"/>
  </r>
  <r>
    <d v="2015-06-15T00:00:00"/>
    <x v="6"/>
    <x v="2"/>
    <x v="0"/>
    <n v="149501.57449999999"/>
    <n v="143962.8719"/>
    <n v="3557"/>
    <n v="42.030243041889229"/>
    <x v="2"/>
    <n v="3.7047787747546366"/>
    <n v="40.473115518695529"/>
    <n v="3.7047787747546357"/>
  </r>
  <r>
    <d v="2015-06-16T00:00:00"/>
    <x v="6"/>
    <x v="2"/>
    <x v="1"/>
    <n v="100477.2968"/>
    <n v="96810.103579999995"/>
    <n v="2395"/>
    <n v="41.952942296450935"/>
    <x v="2"/>
    <n v="3.6497729704049928"/>
    <n v="40.421755148225465"/>
    <n v="3.6497729704049937"/>
  </r>
  <r>
    <d v="2015-06-17T00:00:00"/>
    <x v="6"/>
    <x v="2"/>
    <x v="2"/>
    <n v="89072.705350000004"/>
    <n v="85639.307750000007"/>
    <n v="2120"/>
    <n v="42.015427051886796"/>
    <x v="2"/>
    <n v="3.8546012344734475"/>
    <n v="40.395899882075476"/>
    <n v="3.8546012344734502"/>
  </r>
  <r>
    <d v="2015-06-18T00:00:00"/>
    <x v="6"/>
    <x v="2"/>
    <x v="3"/>
    <n v="78746.595860000001"/>
    <n v="75673.781990000003"/>
    <n v="1875"/>
    <n v="41.998184458666664"/>
    <x v="2"/>
    <n v="3.9021545457825435"/>
    <n v="40.35935039466667"/>
    <n v="3.9021545457825315"/>
  </r>
  <r>
    <d v="2015-06-19T00:00:00"/>
    <x v="6"/>
    <x v="2"/>
    <x v="4"/>
    <n v="141913.3824"/>
    <n v="136017.75039999999"/>
    <n v="3376"/>
    <n v="42.03595450236967"/>
    <x v="2"/>
    <n v="4.1543876273644598"/>
    <n v="40.289618009478673"/>
    <n v="4.1543876273644544"/>
  </r>
  <r>
    <d v="2015-06-20T00:00:00"/>
    <x v="6"/>
    <x v="2"/>
    <x v="5"/>
    <n v="169304.27830000001"/>
    <n v="162287.90919999999"/>
    <n v="4027"/>
    <n v="42.042284156940653"/>
    <x v="2"/>
    <n v="4.1442361471617994"/>
    <n v="40.299952619816239"/>
    <n v="4.144236147161803"/>
  </r>
  <r>
    <d v="2015-06-21T00:00:00"/>
    <x v="6"/>
    <x v="2"/>
    <x v="6"/>
    <n v="89512.242840000006"/>
    <n v="85781.807029999996"/>
    <n v="2128"/>
    <n v="42.064023890977445"/>
    <x v="2"/>
    <n v="4.1675146232991089"/>
    <n v="40.31099954417293"/>
    <n v="4.1675146232991089"/>
  </r>
  <r>
    <d v="2015-06-22T00:00:00"/>
    <x v="6"/>
    <x v="2"/>
    <x v="0"/>
    <n v="85984.075339999996"/>
    <n v="82427.231539999993"/>
    <n v="2046"/>
    <n v="42.025452267839682"/>
    <x v="2"/>
    <n v="4.1366308655823278"/>
    <n v="40.28701443792766"/>
    <n v="4.1366308655823234"/>
  </r>
  <r>
    <d v="2015-06-23T00:00:00"/>
    <x v="6"/>
    <x v="2"/>
    <x v="1"/>
    <n v="64956.462079999998"/>
    <n v="62169.777119999999"/>
    <n v="1546"/>
    <n v="42.015822820181114"/>
    <x v="2"/>
    <n v="4.2900811878700127"/>
    <n v="40.213309909443723"/>
    <n v="4.290081187870026"/>
  </r>
  <r>
    <d v="2015-06-24T00:00:00"/>
    <x v="6"/>
    <x v="2"/>
    <x v="2"/>
    <n v="106613.4328"/>
    <n v="113428.4743"/>
    <n v="2822"/>
    <n v="37.77938795180723"/>
    <x v="1"/>
    <n v="-6.3922915912337146"/>
    <n v="40.194356591070161"/>
    <n v="-6.3922915912336977"/>
  </r>
  <r>
    <d v="2015-06-25T00:00:00"/>
    <x v="6"/>
    <x v="2"/>
    <x v="3"/>
    <n v="183843.8173"/>
    <n v="195365.73069999999"/>
    <n v="4865"/>
    <n v="37.789068304213771"/>
    <x v="1"/>
    <n v="-6.267229199880191"/>
    <n v="40.157395827338128"/>
    <n v="-6.2672291998801946"/>
  </r>
  <r>
    <d v="2015-06-26T00:00:00"/>
    <x v="6"/>
    <x v="2"/>
    <x v="4"/>
    <n v="319579.7941"/>
    <n v="339241.69179999997"/>
    <n v="8450"/>
    <n v="37.820093976331364"/>
    <x v="1"/>
    <n v="-6.1524220438816446"/>
    <n v="40.146945775147927"/>
    <n v="-6.1524220438816393"/>
  </r>
  <r>
    <d v="2015-06-27T00:00:00"/>
    <x v="6"/>
    <x v="2"/>
    <x v="5"/>
    <n v="369245.75870000001"/>
    <n v="392017.97350000002"/>
    <n v="9770"/>
    <n v="37.79383405322416"/>
    <x v="1"/>
    <n v="-6.167224474066793"/>
    <n v="40.124664636642784"/>
    <n v="-6.167224474066777"/>
  </r>
  <r>
    <d v="2015-06-28T00:00:00"/>
    <x v="6"/>
    <x v="2"/>
    <x v="6"/>
    <n v="185648.49110000001"/>
    <n v="197095.10870000001"/>
    <n v="4914"/>
    <n v="37.779505718355722"/>
    <x v="1"/>
    <n v="-6.1657477161148861"/>
    <n v="40.108894729344733"/>
    <n v="-6.1657477161148879"/>
  </r>
  <r>
    <d v="2015-06-29T00:00:00"/>
    <x v="6"/>
    <x v="2"/>
    <x v="0"/>
    <n v="165557.76180000001"/>
    <n v="175871.1109"/>
    <n v="4385"/>
    <n v="37.755475895096922"/>
    <x v="1"/>
    <n v="-6.2294567091689155"/>
    <n v="40.107436921322694"/>
    <n v="-6.2294567091689288"/>
  </r>
  <r>
    <d v="2015-06-30T00:00:00"/>
    <x v="6"/>
    <x v="2"/>
    <x v="1"/>
    <n v="212465.08319999999"/>
    <n v="225678.9345"/>
    <n v="5627"/>
    <n v="37.758145228363247"/>
    <x v="1"/>
    <n v="-6.2193048857639353"/>
    <n v="40.106439399324685"/>
    <n v="-6.2193048857639361"/>
  </r>
  <r>
    <d v="2015-07-01T00:00:00"/>
    <x v="7"/>
    <x v="2"/>
    <x v="2"/>
    <n v="305231.9081"/>
    <n v="324248.84149999998"/>
    <n v="8086"/>
    <n v="37.748195411822905"/>
    <x v="1"/>
    <n v="-6.2303228775707344"/>
    <n v="40.100029866435811"/>
    <n v="-6.2303228775707264"/>
  </r>
  <r>
    <d v="2015-07-02T00:00:00"/>
    <x v="7"/>
    <x v="2"/>
    <x v="3"/>
    <n v="250481.6177"/>
    <n v="266061.92839999998"/>
    <n v="6639"/>
    <n v="37.728817246573279"/>
    <x v="1"/>
    <n v="-6.2201413592994266"/>
    <n v="40.07560301250188"/>
    <n v="-6.2201413592994301"/>
  </r>
  <r>
    <d v="2015-07-03T00:00:00"/>
    <x v="7"/>
    <x v="2"/>
    <x v="4"/>
    <n v="268410.48070000001"/>
    <n v="284592.99469999998"/>
    <n v="7104"/>
    <n v="37.783006855292797"/>
    <x v="1"/>
    <n v="-6.0290171821148135"/>
    <n v="40.060950830518017"/>
    <n v="-6.0290171821148126"/>
  </r>
  <r>
    <d v="2015-07-04T00:00:00"/>
    <x v="7"/>
    <x v="2"/>
    <x v="5"/>
    <n v="316365.4987"/>
    <n v="335025.07640000002"/>
    <n v="8364"/>
    <n v="37.824665076518414"/>
    <x v="1"/>
    <n v="-5.8981076560735684"/>
    <n v="40.05560454328073"/>
    <n v="-5.8981076560735621"/>
  </r>
  <r>
    <d v="2015-07-05T00:00:00"/>
    <x v="7"/>
    <x v="2"/>
    <x v="6"/>
    <n v="156873.04370000001"/>
    <n v="165968.62450000001"/>
    <n v="4146"/>
    <n v="37.837203014954177"/>
    <x v="1"/>
    <n v="-5.7980520970793119"/>
    <n v="40.031023757838881"/>
    <n v="-5.7980520970793021"/>
  </r>
  <r>
    <d v="2015-07-06T00:00:00"/>
    <x v="7"/>
    <x v="2"/>
    <x v="0"/>
    <n v="173987.75150000001"/>
    <n v="184188.97899999999"/>
    <n v="4601"/>
    <n v="37.815203542708112"/>
    <x v="1"/>
    <n v="-5.8631871565970428"/>
    <n v="40.032379700065199"/>
    <n v="-5.8631871565970313"/>
  </r>
  <r>
    <d v="2015-07-07T00:00:00"/>
    <x v="7"/>
    <x v="2"/>
    <x v="1"/>
    <n v="135753.766"/>
    <n v="143799.5987"/>
    <n v="3593"/>
    <n v="37.782846089618701"/>
    <x v="1"/>
    <n v="-5.9267841600799489"/>
    <n v="40.022153826885614"/>
    <n v="-5.9267841600799622"/>
  </r>
  <r>
    <d v="2015-07-08T00:00:00"/>
    <x v="7"/>
    <x v="2"/>
    <x v="2"/>
    <n v="84426.509409999999"/>
    <n v="84588.963040000002"/>
    <n v="2114"/>
    <n v="39.936854025543994"/>
    <x v="1"/>
    <n v="-0.19242016652741253"/>
    <n v="40.013700586565754"/>
    <n v="-0.19242016652740987"/>
  </r>
  <r>
    <d v="2015-07-09T00:00:00"/>
    <x v="7"/>
    <x v="2"/>
    <x v="3"/>
    <n v="70815.190289999999"/>
    <n v="71913.068580000006"/>
    <n v="1797"/>
    <n v="39.407451469115195"/>
    <x v="1"/>
    <n v="-1.5503429214890385"/>
    <n v="40.018402103505849"/>
    <n v="-1.5503429214890361"/>
  </r>
  <r>
    <d v="2015-07-10T00:00:00"/>
    <x v="7"/>
    <x v="2"/>
    <x v="4"/>
    <n v="125983.15180000001"/>
    <n v="127884.58719999999"/>
    <n v="3195"/>
    <n v="39.431346416275431"/>
    <x v="1"/>
    <n v="-1.5092775286480709"/>
    <n v="40.026474866979655"/>
    <n v="-1.5092775286480751"/>
  </r>
  <r>
    <d v="2015-07-11T00:00:00"/>
    <x v="7"/>
    <x v="2"/>
    <x v="5"/>
    <n v="142378.18400000001"/>
    <n v="143924.56510000001"/>
    <n v="3595"/>
    <n v="39.604501808066765"/>
    <x v="1"/>
    <n v="-1.0861081779214143"/>
    <n v="40.034649541029211"/>
    <n v="-1.0861081779214108"/>
  </r>
  <r>
    <d v="2015-07-12T00:00:00"/>
    <x v="7"/>
    <x v="2"/>
    <x v="6"/>
    <n v="57427.680710000001"/>
    <n v="58723.040529999998"/>
    <n v="1467"/>
    <n v="39.146339952283576"/>
    <x v="1"/>
    <n v="-2.2556366615976433"/>
    <n v="40.029339147920929"/>
    <n v="-2.255636661597642"/>
  </r>
  <r>
    <d v="2015-07-13T00:00:00"/>
    <x v="7"/>
    <x v="2"/>
    <x v="0"/>
    <n v="63331.330999999998"/>
    <n v="64690.059070000003"/>
    <n v="1610"/>
    <n v="39.336230434782607"/>
    <x v="1"/>
    <n v="-2.1454279399244029"/>
    <n v="40.18016091304348"/>
    <n v="-2.1454279399244038"/>
  </r>
  <r>
    <d v="2015-07-14T00:00:00"/>
    <x v="7"/>
    <x v="2"/>
    <x v="1"/>
    <n v="51241.028550000003"/>
    <n v="52509.916219999999"/>
    <n v="1307"/>
    <n v="39.205071576128539"/>
    <x v="1"/>
    <n v="-2.4763118655236211"/>
    <n v="40.175911415455239"/>
    <n v="-2.4763118655236229"/>
  </r>
  <r>
    <d v="2015-07-15T00:00:00"/>
    <x v="7"/>
    <x v="2"/>
    <x v="2"/>
    <n v="80326.44081"/>
    <n v="81730.270699999994"/>
    <n v="2050"/>
    <n v="39.183629663414635"/>
    <x v="1"/>
    <n v="-1.747656034356782"/>
    <n v="39.868424731707314"/>
    <n v="-1.7476560343567804"/>
  </r>
  <r>
    <d v="2015-07-16T00:00:00"/>
    <x v="7"/>
    <x v="2"/>
    <x v="3"/>
    <n v="71912.565730000002"/>
    <n v="73762.62917"/>
    <n v="1849"/>
    <n v="38.892680221741486"/>
    <x v="1"/>
    <n v="-2.572656699451068"/>
    <n v="39.893255365062195"/>
    <n v="-2.5726566994510596"/>
  </r>
  <r>
    <d v="2015-07-17T00:00:00"/>
    <x v="7"/>
    <x v="2"/>
    <x v="4"/>
    <n v="119204.3095"/>
    <n v="122669.6994"/>
    <n v="3070"/>
    <n v="38.828765309446254"/>
    <x v="1"/>
    <n v="-2.907101189995144"/>
    <n v="39.957556807817589"/>
    <n v="-2.9071011899951471"/>
  </r>
  <r>
    <d v="2015-07-18T00:00:00"/>
    <x v="7"/>
    <x v="2"/>
    <x v="5"/>
    <n v="129441.2787"/>
    <n v="132493.43150000001"/>
    <n v="3322"/>
    <n v="38.964864148103551"/>
    <x v="1"/>
    <n v="-2.3579439500700872"/>
    <n v="39.883633804936785"/>
    <n v="-2.3579439500700823"/>
  </r>
  <r>
    <d v="2015-07-19T00:00:00"/>
    <x v="7"/>
    <x v="2"/>
    <x v="6"/>
    <n v="77645.749939999994"/>
    <n v="79555.634739999994"/>
    <n v="1982"/>
    <n v="39.175454056508578"/>
    <x v="1"/>
    <n v="-2.4597415846660571"/>
    <n v="40.139068990918261"/>
    <n v="-2.4597415846660478"/>
  </r>
  <r>
    <d v="2015-07-20T00:00:00"/>
    <x v="7"/>
    <x v="2"/>
    <x v="0"/>
    <n v="69926.65036"/>
    <n v="71362.51784"/>
    <n v="1787"/>
    <n v="39.13075006155568"/>
    <x v="1"/>
    <n v="-2.0533909069114475"/>
    <n v="39.934257325125913"/>
    <n v="-2.0533909069114524"/>
  </r>
  <r>
    <d v="2015-07-21T00:00:00"/>
    <x v="7"/>
    <x v="2"/>
    <x v="1"/>
    <n v="71973.044299999994"/>
    <n v="73851.788400000005"/>
    <n v="1846"/>
    <n v="38.988648049837487"/>
    <x v="1"/>
    <n v="-2.6103440784983039"/>
    <n v="40.006385915492963"/>
    <n v="-2.6103440784983016"/>
  </r>
  <r>
    <d v="2015-07-22T00:00:00"/>
    <x v="7"/>
    <x v="2"/>
    <x v="2"/>
    <n v="44304.898359999999"/>
    <n v="45468.83698"/>
    <n v="1142"/>
    <n v="38.795882977232921"/>
    <x v="1"/>
    <n v="-2.6271104620134844"/>
    <n v="39.81509367775832"/>
    <n v="-2.6271104620134955"/>
  </r>
  <r>
    <d v="2015-07-23T00:00:00"/>
    <x v="7"/>
    <x v="2"/>
    <x v="3"/>
    <n v="66799.723729999998"/>
    <n v="69323.647870000001"/>
    <n v="1734"/>
    <n v="38.523485426758938"/>
    <x v="1"/>
    <n v="-3.7783451772967429"/>
    <n v="39.979035680507501"/>
    <n v="-3.7783451772967491"/>
  </r>
  <r>
    <d v="2015-07-24T00:00:00"/>
    <x v="7"/>
    <x v="2"/>
    <x v="4"/>
    <n v="125689.5928"/>
    <n v="130428.2264"/>
    <n v="3259"/>
    <n v="38.566920159558144"/>
    <x v="1"/>
    <n v="-3.770108164436667"/>
    <n v="40.020934765265416"/>
    <n v="-3.7701081644366656"/>
  </r>
  <r>
    <d v="2015-07-25T00:00:00"/>
    <x v="7"/>
    <x v="2"/>
    <x v="5"/>
    <n v="138624.94500000001"/>
    <n v="143537.3952"/>
    <n v="3572"/>
    <n v="38.80877519596865"/>
    <x v="1"/>
    <n v="-3.5436985745963629"/>
    <n v="40.184041209406494"/>
    <n v="-3.5436985745963536"/>
  </r>
  <r>
    <d v="2015-07-26T00:00:00"/>
    <x v="7"/>
    <x v="2"/>
    <x v="6"/>
    <n v="81715.045329999994"/>
    <n v="85089.223429999998"/>
    <n v="2109"/>
    <n v="38.745872607871028"/>
    <x v="1"/>
    <n v="-4.1292005485325776"/>
    <n v="40.34576739212897"/>
    <n v="-4.1292005485325696"/>
  </r>
  <r>
    <d v="2015-07-27T00:00:00"/>
    <x v="7"/>
    <x v="2"/>
    <x v="0"/>
    <n v="86842.861359999995"/>
    <n v="90242.794099999999"/>
    <n v="2242"/>
    <n v="38.734550115967885"/>
    <x v="1"/>
    <n v="-3.9150399776739966"/>
    <n v="40.251023238180196"/>
    <n v="-3.915039977673993"/>
  </r>
  <r>
    <d v="2015-07-28T00:00:00"/>
    <x v="7"/>
    <x v="2"/>
    <x v="1"/>
    <n v="56976.785279999996"/>
    <n v="59094.076860000001"/>
    <n v="1474"/>
    <n v="38.65453546811397"/>
    <x v="1"/>
    <n v="-3.7160600928870178"/>
    <n v="40.090961234735417"/>
    <n v="-3.7160600928870329"/>
  </r>
  <r>
    <d v="2015-07-29T00:00:00"/>
    <x v="7"/>
    <x v="2"/>
    <x v="2"/>
    <n v="53433.668030000001"/>
    <n v="55516.525560000002"/>
    <n v="1381"/>
    <n v="38.692011607530773"/>
    <x v="1"/>
    <n v="-3.8980246103086049"/>
    <n v="40.200235742215789"/>
    <n v="-3.8980246103086147"/>
  </r>
  <r>
    <d v="2015-07-30T00:00:00"/>
    <x v="7"/>
    <x v="2"/>
    <x v="3"/>
    <n v="55134.081819999999"/>
    <n v="57064.750699999997"/>
    <n v="1423"/>
    <n v="38.744962628250178"/>
    <x v="1"/>
    <n v="-3.5017702594616229"/>
    <n v="40.101722206605757"/>
    <n v="-3.5017702594616069"/>
  </r>
  <r>
    <d v="2015-07-31T00:00:00"/>
    <x v="7"/>
    <x v="2"/>
    <x v="4"/>
    <n v="145033.61079999999"/>
    <n v="149876.87330000001"/>
    <n v="3740"/>
    <n v="38.779040320855614"/>
    <x v="1"/>
    <n v="-3.3394069645544615"/>
    <n v="40.074030294117648"/>
    <n v="-3.339406964554458"/>
  </r>
  <r>
    <d v="2015-08-01T00:00:00"/>
    <x v="8"/>
    <x v="2"/>
    <x v="5"/>
    <n v="173306.90650000001"/>
    <n v="178699.97589999999"/>
    <n v="4453"/>
    <n v="38.919134628340444"/>
    <x v="1"/>
    <n v="-3.1118606343596458"/>
    <n v="40.130243858073207"/>
    <n v="-3.1118606343596547"/>
  </r>
  <r>
    <d v="2015-08-02T00:00:00"/>
    <x v="8"/>
    <x v="2"/>
    <x v="6"/>
    <n v="88154.338709999996"/>
    <n v="90828.661699999997"/>
    <n v="2258"/>
    <n v="39.040894025686448"/>
    <x v="1"/>
    <n v="-3.0336827762927028"/>
    <n v="40.22527090345438"/>
    <n v="-3.0336827762926899"/>
  </r>
  <r>
    <d v="2015-08-03T00:00:00"/>
    <x v="8"/>
    <x v="2"/>
    <x v="0"/>
    <n v="81142.027849999999"/>
    <n v="83114.576809999999"/>
    <n v="2074"/>
    <n v="39.123446407907423"/>
    <x v="1"/>
    <n v="-2.4309830703842832"/>
    <n v="40.074530766634524"/>
    <n v="-2.430983070384293"/>
  </r>
  <r>
    <d v="2015-08-04T00:00:00"/>
    <x v="8"/>
    <x v="2"/>
    <x v="1"/>
    <n v="77672.88278"/>
    <n v="80417.746440000003"/>
    <n v="2007"/>
    <n v="38.700987932237169"/>
    <x v="1"/>
    <n v="-3.5338763822820001"/>
    <n v="40.068633004484305"/>
    <n v="-3.5338763822819987"/>
  </r>
  <r>
    <d v="2015-08-05T00:00:00"/>
    <x v="8"/>
    <x v="2"/>
    <x v="2"/>
    <n v="75483.422550000003"/>
    <n v="78024.284679999997"/>
    <n v="1948"/>
    <n v="38.749190220739223"/>
    <x v="1"/>
    <n v="-3.3661193996826713"/>
    <n v="40.053534229979462"/>
    <n v="-3.3661193996826597"/>
  </r>
  <r>
    <d v="2015-08-06T00:00:00"/>
    <x v="8"/>
    <x v="2"/>
    <x v="3"/>
    <n v="74354.570099999997"/>
    <n v="76978.305240000002"/>
    <n v="1922"/>
    <n v="38.686040634755464"/>
    <x v="1"/>
    <n v="-3.5286803978172752"/>
    <n v="40.051147367325704"/>
    <n v="-3.5286803978172703"/>
  </r>
  <r>
    <d v="2015-08-07T00:00:00"/>
    <x v="8"/>
    <x v="2"/>
    <x v="4"/>
    <n v="120326.8763"/>
    <n v="123707.7616"/>
    <n v="3088"/>
    <n v="38.965957351036273"/>
    <x v="1"/>
    <n v="-2.8097507422786761"/>
    <n v="40.060803626943006"/>
    <n v="-2.8097507422786725"/>
  </r>
  <r>
    <d v="2015-08-08T00:00:00"/>
    <x v="8"/>
    <x v="2"/>
    <x v="5"/>
    <n v="131867.99350000001"/>
    <n v="135721.42600000001"/>
    <n v="3388"/>
    <n v="38.922076003541918"/>
    <x v="1"/>
    <n v="-2.9221893787289597"/>
    <n v="40.059452774498233"/>
    <n v="-2.9221893787289606"/>
  </r>
  <r>
    <d v="2015-08-09T00:00:00"/>
    <x v="8"/>
    <x v="2"/>
    <x v="6"/>
    <n v="75504.002739999996"/>
    <n v="77978.694470000002"/>
    <n v="1944"/>
    <n v="38.839507582304527"/>
    <x v="1"/>
    <n v="-3.2775636260261214"/>
    <n v="40.112497155349793"/>
    <n v="-3.2775636260261081"/>
  </r>
  <r>
    <d v="2015-08-10T00:00:00"/>
    <x v="8"/>
    <x v="2"/>
    <x v="0"/>
    <n v="69968.077699999994"/>
    <n v="72665.725529999996"/>
    <n v="1812"/>
    <n v="38.613729415011036"/>
    <x v="1"/>
    <n v="-3.8555408676034011"/>
    <n v="40.102497533112583"/>
    <n v="-3.855540867603402"/>
  </r>
  <r>
    <d v="2015-08-11T00:00:00"/>
    <x v="8"/>
    <x v="2"/>
    <x v="1"/>
    <n v="60187.14905"/>
    <n v="62538.493280000002"/>
    <n v="1563"/>
    <n v="38.507453007037746"/>
    <x v="1"/>
    <n v="-3.9067213966998868"/>
    <n v="40.011831912987844"/>
    <n v="-3.9067213966998882"/>
  </r>
  <r>
    <d v="2015-08-12T00:00:00"/>
    <x v="8"/>
    <x v="2"/>
    <x v="2"/>
    <n v="44698.700750000004"/>
    <n v="46849.567150000003"/>
    <n v="1171"/>
    <n v="38.171392613151156"/>
    <x v="1"/>
    <n v="-4.8119215187703164"/>
    <n v="40.008170068317682"/>
    <n v="-4.8119215187703244"/>
  </r>
  <r>
    <d v="2015-08-13T00:00:00"/>
    <x v="8"/>
    <x v="2"/>
    <x v="3"/>
    <n v="39463.409059999998"/>
    <n v="41414.418369999999"/>
    <n v="1035"/>
    <n v="38.128897642512072"/>
    <x v="1"/>
    <n v="-4.9438438200655579"/>
    <n v="40.013930792270529"/>
    <n v="-4.9438438200655606"/>
  </r>
  <r>
    <d v="2015-08-14T00:00:00"/>
    <x v="8"/>
    <x v="2"/>
    <x v="4"/>
    <n v="85794.096900000004"/>
    <n v="89898.894230000005"/>
    <n v="2247"/>
    <n v="38.181618558077439"/>
    <x v="1"/>
    <n v="-4.784475247503889"/>
    <n v="40.008408647085005"/>
    <n v="-4.7844752475038899"/>
  </r>
  <r>
    <d v="2015-08-15T00:00:00"/>
    <x v="8"/>
    <x v="2"/>
    <x v="5"/>
    <n v="117288.0101"/>
    <n v="122504.3572"/>
    <n v="3068"/>
    <n v="38.22946874185137"/>
    <x v="1"/>
    <n v="-4.4474683265173747"/>
    <n v="39.92971225554107"/>
    <n v="-4.447468326517372"/>
  </r>
  <r>
    <d v="2015-08-16T00:00:00"/>
    <x v="8"/>
    <x v="2"/>
    <x v="6"/>
    <n v="71056.061000000002"/>
    <n v="74589.172869999995"/>
    <n v="1866"/>
    <n v="38.079346730975352"/>
    <x v="1"/>
    <n v="-4.9722878249611853"/>
    <n v="39.97276145230439"/>
    <n v="-4.9722878249611719"/>
  </r>
  <r>
    <d v="2015-08-17T00:00:00"/>
    <x v="8"/>
    <x v="2"/>
    <x v="0"/>
    <n v="64394.07445"/>
    <n v="67505.254140000005"/>
    <n v="1690"/>
    <n v="38.103002633136093"/>
    <x v="1"/>
    <n v="-4.8314689147613086"/>
    <n v="39.943937360946748"/>
    <n v="-4.8314689147613139"/>
  </r>
  <r>
    <d v="2015-08-18T00:00:00"/>
    <x v="8"/>
    <x v="2"/>
    <x v="1"/>
    <n v="35165.97208"/>
    <n v="36841.967320000003"/>
    <n v="922"/>
    <n v="38.140967548806941"/>
    <x v="1"/>
    <n v="-4.7659573754629561"/>
    <n v="39.958749804772239"/>
    <n v="-4.7659573754629587"/>
  </r>
  <r>
    <d v="2015-08-19T00:00:00"/>
    <x v="8"/>
    <x v="2"/>
    <x v="2"/>
    <n v="23234.183199999999"/>
    <n v="24104.08598"/>
    <n v="604"/>
    <n v="38.467190728476822"/>
    <x v="1"/>
    <n v="-3.7440643921581902"/>
    <n v="39.907427119205295"/>
    <n v="-3.7440643921581773"/>
  </r>
  <r>
    <d v="2015-08-20T00:00:00"/>
    <x v="8"/>
    <x v="2"/>
    <x v="3"/>
    <n v="24754.957180000001"/>
    <n v="25407.174070000001"/>
    <n v="643"/>
    <n v="38.499155800933131"/>
    <x v="1"/>
    <n v="-2.6346920548379624"/>
    <n v="39.513490000000004"/>
    <n v="-2.6346920548379607"/>
  </r>
  <r>
    <d v="2015-08-21T00:00:00"/>
    <x v="8"/>
    <x v="2"/>
    <x v="4"/>
    <n v="76691.283030000006"/>
    <n v="78691.956319999998"/>
    <n v="2006"/>
    <n v="38.230948668993022"/>
    <x v="1"/>
    <n v="-2.6087362356649719"/>
    <n v="39.228293280159519"/>
    <n v="-2.6087362356649737"/>
  </r>
  <r>
    <d v="2015-08-22T00:00:00"/>
    <x v="8"/>
    <x v="2"/>
    <x v="5"/>
    <n v="102231.2118"/>
    <n v="104713.00750000001"/>
    <n v="2677"/>
    <n v="38.188723122898772"/>
    <x v="1"/>
    <n v="-2.4276301300773606"/>
    <n v="39.115804071722081"/>
    <n v="-2.4276301300773588"/>
  </r>
  <r>
    <d v="2015-08-23T00:00:00"/>
    <x v="8"/>
    <x v="2"/>
    <x v="6"/>
    <n v="56974.868029999998"/>
    <n v="57548.98515"/>
    <n v="1467"/>
    <n v="38.837674185412403"/>
    <x v="1"/>
    <n v="-1.0076673099053119"/>
    <n v="39.229028732106343"/>
    <n v="-1.0076673099053242"/>
  </r>
  <r>
    <d v="2015-08-24T00:00:00"/>
    <x v="8"/>
    <x v="2"/>
    <x v="0"/>
    <n v="59442.731119999997"/>
    <n v="59785.428610000003"/>
    <n v="1528"/>
    <n v="38.902310942408377"/>
    <x v="1"/>
    <n v="-0.5765170670038452"/>
    <n v="39.126589404450264"/>
    <n v="-0.57651706700384175"/>
  </r>
  <r>
    <d v="2015-08-25T00:00:00"/>
    <x v="8"/>
    <x v="2"/>
    <x v="1"/>
    <n v="217683.36230000001"/>
    <n v="246975.73079999999"/>
    <n v="6360"/>
    <n v="34.226943757861633"/>
    <x v="0"/>
    <n v="-13.456411271170438"/>
    <n v="38.832662075471696"/>
    <n v="-13.456411271170445"/>
  </r>
  <r>
    <d v="2015-08-26T00:00:00"/>
    <x v="8"/>
    <x v="2"/>
    <x v="2"/>
    <n v="275458.80690000003"/>
    <n v="307092.27439999999"/>
    <n v="8035"/>
    <n v="34.28236551337897"/>
    <x v="0"/>
    <n v="-11.4839194491552"/>
    <n v="38.219324754200372"/>
    <n v="-11.483919449155199"/>
  </r>
  <r>
    <d v="2015-08-27T00:00:00"/>
    <x v="8"/>
    <x v="2"/>
    <x v="3"/>
    <n v="228731.86550000001"/>
    <n v="252845.44560000001"/>
    <n v="6675"/>
    <n v="34.266946142322098"/>
    <x v="0"/>
    <n v="-10.542291537424632"/>
    <n v="37.879467505617981"/>
    <n v="-10.542291537424644"/>
  </r>
  <r>
    <d v="2015-08-28T00:00:00"/>
    <x v="8"/>
    <x v="2"/>
    <x v="4"/>
    <n v="387639.12"/>
    <n v="426783.30219999998"/>
    <n v="11330"/>
    <n v="34.213514563106799"/>
    <x v="0"/>
    <n v="-10.098099025712363"/>
    <n v="37.668429143865843"/>
    <n v="-10.098099025712362"/>
  </r>
  <r>
    <d v="2015-08-29T00:00:00"/>
    <x v="8"/>
    <x v="2"/>
    <x v="5"/>
    <n v="461188.0049"/>
    <n v="504578.1888"/>
    <n v="13484"/>
    <n v="34.20261086472857"/>
    <x v="0"/>
    <n v="-9.4083504859169853"/>
    <n v="37.420512370216557"/>
    <n v="-9.4083504859169889"/>
  </r>
  <r>
    <d v="2015-08-30T00:00:00"/>
    <x v="8"/>
    <x v="2"/>
    <x v="6"/>
    <n v="202249.67720000001"/>
    <n v="220152.1868"/>
    <n v="5913"/>
    <n v="34.204241028242855"/>
    <x v="0"/>
    <n v="-8.8516876011112817"/>
    <n v="37.231893590394044"/>
    <n v="-8.8516876011112764"/>
  </r>
  <r>
    <d v="2015-08-31T00:00:00"/>
    <x v="8"/>
    <x v="2"/>
    <x v="0"/>
    <n v="332559.76500000001"/>
    <n v="361970.28590000002"/>
    <n v="9721"/>
    <n v="34.210447999177042"/>
    <x v="0"/>
    <n v="-8.8436798420277931"/>
    <n v="37.235910492747664"/>
    <n v="-8.8436798420277967"/>
  </r>
  <r>
    <d v="2015-09-01T00:00:00"/>
    <x v="9"/>
    <x v="2"/>
    <x v="1"/>
    <n v="384806.77159999998"/>
    <n v="418101.59749999997"/>
    <n v="11257"/>
    <n v="34.183776459092115"/>
    <x v="0"/>
    <n v="-8.6523492717039279"/>
    <n v="37.141476192591277"/>
    <n v="-8.6523492717039456"/>
  </r>
  <r>
    <d v="2015-09-02T00:00:00"/>
    <x v="9"/>
    <x v="2"/>
    <x v="2"/>
    <n v="345776.25030000001"/>
    <n v="373816.16840000002"/>
    <n v="10102"/>
    <n v="34.228494387250052"/>
    <x v="0"/>
    <n v="-8.1092666357716023"/>
    <n v="37.004174262522277"/>
    <n v="-8.1092666357716041"/>
  </r>
  <r>
    <d v="2015-09-03T00:00:00"/>
    <x v="9"/>
    <x v="2"/>
    <x v="3"/>
    <n v="271551.09509999998"/>
    <n v="293343.87400000001"/>
    <n v="7938"/>
    <n v="34.209006689342402"/>
    <x v="0"/>
    <n v="-8.0252958994603709"/>
    <n v="36.954380700428324"/>
    <n v="-8.0252958994603762"/>
  </r>
  <r>
    <d v="2015-09-04T00:00:00"/>
    <x v="9"/>
    <x v="2"/>
    <x v="4"/>
    <n v="340440.20549999998"/>
    <n v="366359.65860000002"/>
    <n v="9936"/>
    <n v="34.263305706521734"/>
    <x v="0"/>
    <n v="-7.6135111779563429"/>
    <n v="36.871946316425124"/>
    <n v="-7.6135111779563527"/>
  </r>
  <r>
    <d v="2015-09-05T00:00:00"/>
    <x v="9"/>
    <x v="2"/>
    <x v="5"/>
    <n v="364416.7316"/>
    <n v="392128.30129999999"/>
    <n v="10643"/>
    <n v="34.240038673306401"/>
    <x v="0"/>
    <n v="-7.604362614836643"/>
    <n v="36.843775373484917"/>
    <n v="-7.6043626148366297"/>
  </r>
  <r>
    <d v="2015-09-06T00:00:00"/>
    <x v="9"/>
    <x v="2"/>
    <x v="6"/>
    <n v="164719.60449999999"/>
    <n v="176647.84270000001"/>
    <n v="4800"/>
    <n v="34.316584270833332"/>
    <x v="0"/>
    <n v="-7.2415413066390784"/>
    <n v="36.801633895833334"/>
    <n v="-7.2415413066390713"/>
  </r>
  <r>
    <d v="2015-09-07T00:00:00"/>
    <x v="9"/>
    <x v="2"/>
    <x v="0"/>
    <n v="178921.0993"/>
    <n v="192507.5287"/>
    <n v="5228"/>
    <n v="34.223622666411629"/>
    <x v="0"/>
    <n v="-7.5935311448200977"/>
    <n v="36.822404112471304"/>
    <n v="-7.5935311448200915"/>
  </r>
  <r>
    <d v="2015-09-08T00:00:00"/>
    <x v="9"/>
    <x v="2"/>
    <x v="1"/>
    <n v="70286.997810000001"/>
    <n v="66639.698050000006"/>
    <n v="1810"/>
    <n v="38.83259547513812"/>
    <x v="1"/>
    <n v="5.1891528641746589"/>
    <n v="36.817512734806634"/>
    <n v="5.1891528641746527"/>
  </r>
  <r>
    <d v="2015-09-09T00:00:00"/>
    <x v="9"/>
    <x v="2"/>
    <x v="2"/>
    <n v="76013.677899999995"/>
    <n v="72211.103170000002"/>
    <n v="1961"/>
    <n v="38.76271183069862"/>
    <x v="1"/>
    <n v="5.002487493109439"/>
    <n v="36.823612019377869"/>
    <n v="5.0024874931094399"/>
  </r>
  <r>
    <d v="2015-09-10T00:00:00"/>
    <x v="9"/>
    <x v="2"/>
    <x v="3"/>
    <n v="48406.787149999996"/>
    <n v="45316.542730000001"/>
    <n v="1232"/>
    <n v="39.291223336038961"/>
    <x v="1"/>
    <n v="6.3839073029658726"/>
    <n v="36.782908060064933"/>
    <n v="6.3839073029658859"/>
  </r>
  <r>
    <d v="2015-09-11T00:00:00"/>
    <x v="9"/>
    <x v="2"/>
    <x v="4"/>
    <n v="85940.026939999996"/>
    <n v="81559.845619999993"/>
    <n v="2194"/>
    <n v="39.170477183226978"/>
    <x v="1"/>
    <n v="5.0967883953051079"/>
    <n v="37.174040847766634"/>
    <n v="5.0967883953051007"/>
  </r>
  <r>
    <d v="2015-09-12T00:00:00"/>
    <x v="9"/>
    <x v="2"/>
    <x v="5"/>
    <n v="57381.751450000003"/>
    <n v="54340.891510000001"/>
    <n v="1469"/>
    <n v="39.061777705922395"/>
    <x v="1"/>
    <n v="5.2993501647464996"/>
    <n v="36.99175732471069"/>
    <n v="5.299350164746488"/>
  </r>
  <r>
    <d v="2015-09-13T00:00:00"/>
    <x v="9"/>
    <x v="2"/>
    <x v="6"/>
    <n v="32479.79639"/>
    <n v="30763.688119999999"/>
    <n v="829"/>
    <n v="39.17948901085645"/>
    <x v="1"/>
    <n v="5.2836176969642654"/>
    <n v="37.109394595898671"/>
    <n v="5.2836176969642619"/>
  </r>
  <r>
    <d v="2015-09-14T00:00:00"/>
    <x v="9"/>
    <x v="2"/>
    <x v="0"/>
    <n v="52160.183929999999"/>
    <n v="49656.007749999997"/>
    <n v="1329"/>
    <n v="39.247692949586153"/>
    <x v="1"/>
    <n v="4.8009343359690915"/>
    <n v="37.363436982693756"/>
    <n v="4.800934335969079"/>
  </r>
  <r>
    <d v="2015-09-15T00:00:00"/>
    <x v="9"/>
    <x v="2"/>
    <x v="1"/>
    <n v="51002.839569999996"/>
    <n v="48601.967499999999"/>
    <n v="1300"/>
    <n v="39.232953515384615"/>
    <x v="1"/>
    <n v="4.7073302001251651"/>
    <n v="37.386128846153845"/>
    <n v="4.7073302001251722"/>
  </r>
  <r>
    <d v="2015-09-16T00:00:00"/>
    <x v="9"/>
    <x v="2"/>
    <x v="2"/>
    <n v="30194.715960000001"/>
    <n v="28605.460800000001"/>
    <n v="773"/>
    <n v="39.061728279430788"/>
    <x v="1"/>
    <n v="5.2633552244880946"/>
    <n v="37.005770763260024"/>
    <n v="5.2633552244880955"/>
  </r>
  <r>
    <d v="2015-09-17T00:00:00"/>
    <x v="9"/>
    <x v="2"/>
    <x v="3"/>
    <n v="29751.222610000001"/>
    <n v="28084.235130000001"/>
    <n v="760"/>
    <n v="39.146345539473685"/>
    <x v="1"/>
    <n v="5.6030889952054972"/>
    <n v="36.95294096052632"/>
    <n v="5.6030889952054919"/>
  </r>
  <r>
    <d v="2015-09-18T00:00:00"/>
    <x v="9"/>
    <x v="2"/>
    <x v="4"/>
    <n v="68504.639439999999"/>
    <n v="64881.97565"/>
    <n v="1755"/>
    <n v="39.033982586894588"/>
    <x v="1"/>
    <n v="5.2882021124611853"/>
    <n v="36.969786695156692"/>
    <n v="5.2882021124611978"/>
  </r>
  <r>
    <d v="2015-09-19T00:00:00"/>
    <x v="9"/>
    <x v="2"/>
    <x v="5"/>
    <n v="68996.561759999997"/>
    <n v="65211.571770000002"/>
    <n v="1766"/>
    <n v="39.069400770101922"/>
    <x v="1"/>
    <n v="5.4857660924696994"/>
    <n v="36.926144830124578"/>
    <n v="5.4857660924696923"/>
  </r>
  <r>
    <d v="2015-09-20T00:00:00"/>
    <x v="9"/>
    <x v="2"/>
    <x v="6"/>
    <n v="41855.928760000003"/>
    <n v="39629.451869999997"/>
    <n v="1078"/>
    <n v="38.827392170686458"/>
    <x v="1"/>
    <n v="5.3193823574350079"/>
    <n v="36.762014721706862"/>
    <n v="5.3193823574350061"/>
  </r>
  <r>
    <d v="2015-09-21T00:00:00"/>
    <x v="9"/>
    <x v="2"/>
    <x v="0"/>
    <n v="44303.466489999999"/>
    <n v="41485.458720000002"/>
    <n v="1124"/>
    <n v="39.415895453736653"/>
    <x v="1"/>
    <n v="6.360693627971675"/>
    <n v="36.908771103202852"/>
    <n v="6.3606936279716644"/>
  </r>
  <r>
    <d v="2015-09-22T00:00:00"/>
    <x v="9"/>
    <x v="2"/>
    <x v="1"/>
    <n v="46599.298130000003"/>
    <n v="43806.73201"/>
    <n v="1182"/>
    <n v="39.424110093062609"/>
    <x v="1"/>
    <n v="5.9927214186991939"/>
    <n v="37.061533003384092"/>
    <n v="5.9927214186992028"/>
  </r>
  <r>
    <d v="2015-09-23T00:00:00"/>
    <x v="9"/>
    <x v="2"/>
    <x v="2"/>
    <n v="125182.75719999999"/>
    <n v="138583.83780000001"/>
    <n v="3725"/>
    <n v="33.606109315436242"/>
    <x v="0"/>
    <n v="-10.705212842204451"/>
    <n v="37.203714845637585"/>
    <n v="-10.705212842204437"/>
  </r>
  <r>
    <d v="2015-09-24T00:00:00"/>
    <x v="9"/>
    <x v="2"/>
    <x v="3"/>
    <n v="150036.80499999999"/>
    <n v="167704.8554"/>
    <n v="4492"/>
    <n v="33.400891585040071"/>
    <x v="0"/>
    <n v="-11.775810875204925"/>
    <n v="37.334117408726627"/>
    <n v="-11.775810875204925"/>
  </r>
  <r>
    <d v="2015-09-25T00:00:00"/>
    <x v="9"/>
    <x v="2"/>
    <x v="4"/>
    <n v="368037.69189999998"/>
    <n v="413540.80719999998"/>
    <n v="11030"/>
    <n v="33.366971160471437"/>
    <x v="0"/>
    <n v="-12.363710647431111"/>
    <n v="37.492366926563918"/>
    <n v="-12.36371064743113"/>
  </r>
  <r>
    <d v="2015-09-26T00:00:00"/>
    <x v="9"/>
    <x v="2"/>
    <x v="5"/>
    <n v="351319.63809999998"/>
    <n v="397626.58510000003"/>
    <n v="10528"/>
    <n v="33.370026415273557"/>
    <x v="0"/>
    <n v="-13.180859245568044"/>
    <n v="37.768482627279639"/>
    <n v="-13.180859245568039"/>
  </r>
  <r>
    <d v="2015-09-27T00:00:00"/>
    <x v="9"/>
    <x v="2"/>
    <x v="6"/>
    <n v="163289.93669999999"/>
    <n v="185404.04399999999"/>
    <n v="4895"/>
    <n v="33.358516179775279"/>
    <x v="0"/>
    <n v="-13.542847616279346"/>
    <n v="37.876209193054137"/>
    <n v="-13.542847616279353"/>
  </r>
  <r>
    <d v="2015-09-28T00:00:00"/>
    <x v="9"/>
    <x v="2"/>
    <x v="0"/>
    <n v="190892.459"/>
    <n v="216571.0595"/>
    <n v="5720"/>
    <n v="33.372807517482521"/>
    <x v="0"/>
    <n v="-13.451867420284003"/>
    <n v="37.862073339160837"/>
    <n v="-13.451867420283985"/>
  </r>
  <r>
    <d v="2015-09-29T00:00:00"/>
    <x v="9"/>
    <x v="2"/>
    <x v="1"/>
    <n v="143082.13329999999"/>
    <n v="162929.01850000001"/>
    <n v="4288"/>
    <n v="33.368034818097009"/>
    <x v="0"/>
    <n v="-13.870973784257954"/>
    <n v="37.996506180037315"/>
    <n v="-13.870973784257966"/>
  </r>
  <r>
    <d v="2015-09-30T00:00:00"/>
    <x v="9"/>
    <x v="2"/>
    <x v="2"/>
    <n v="323548.78529999999"/>
    <n v="368434.88589999999"/>
    <n v="9693"/>
    <n v="33.379633271432994"/>
    <x v="0"/>
    <n v="-13.873054895996855"/>
    <n v="38.010408119261321"/>
    <n v="-13.873054895996848"/>
  </r>
  <r>
    <d v="2015-10-01T00:00:00"/>
    <x v="10"/>
    <x v="2"/>
    <x v="3"/>
    <n v="402312.33319999999"/>
    <n v="459285.80450000003"/>
    <n v="12065"/>
    <n v="33.345406813095728"/>
    <x v="0"/>
    <n v="-14.161502543765426"/>
    <n v="38.067617447161211"/>
    <n v="-14.161502543765431"/>
  </r>
  <r>
    <d v="2015-10-02T00:00:00"/>
    <x v="10"/>
    <x v="2"/>
    <x v="4"/>
    <n v="393635.17489999998"/>
    <n v="448390.96580000001"/>
    <n v="11758"/>
    <n v="33.478072367749618"/>
    <x v="0"/>
    <n v="-13.910289118321378"/>
    <n v="38.134969025344446"/>
    <n v="-13.910289118321367"/>
  </r>
  <r>
    <d v="2015-10-03T00:00:00"/>
    <x v="10"/>
    <x v="2"/>
    <x v="5"/>
    <n v="451100.0601"/>
    <n v="515549.38990000001"/>
    <n v="13508"/>
    <n v="33.395029619484752"/>
    <x v="0"/>
    <n v="-14.287147243055756"/>
    <n v="38.166226673082619"/>
    <n v="-14.287147243055747"/>
  </r>
  <r>
    <d v="2015-10-04T00:00:00"/>
    <x v="10"/>
    <x v="2"/>
    <x v="6"/>
    <n v="202902.6249"/>
    <n v="232360.3272"/>
    <n v="6085"/>
    <n v="33.34472060805259"/>
    <x v="0"/>
    <n v="-14.518147468283447"/>
    <n v="38.185756318816765"/>
    <n v="-14.518147468283443"/>
  </r>
  <r>
    <d v="2015-10-05T00:00:00"/>
    <x v="10"/>
    <x v="2"/>
    <x v="0"/>
    <n v="294557.64640000003"/>
    <n v="336897.92239999998"/>
    <n v="8828"/>
    <n v="33.366294336202991"/>
    <x v="0"/>
    <n v="-14.374190083832755"/>
    <n v="38.162428908019933"/>
    <n v="-14.374190083832762"/>
  </r>
  <r>
    <d v="2015-10-06T00:00:00"/>
    <x v="10"/>
    <x v="2"/>
    <x v="1"/>
    <n v="221618.32819999999"/>
    <n v="253291.06229999999"/>
    <n v="6636"/>
    <n v="33.39637254370102"/>
    <x v="0"/>
    <n v="-14.291568011205674"/>
    <n v="38.169237839059676"/>
    <n v="-14.291568011205694"/>
  </r>
  <r>
    <d v="2015-10-07T00:00:00"/>
    <x v="10"/>
    <x v="2"/>
    <x v="2"/>
    <n v="63968.38248"/>
    <n v="61942.842680000002"/>
    <n v="1622"/>
    <n v="39.437967003699136"/>
    <x v="1"/>
    <n v="3.1664702490066752"/>
    <n v="38.189175511713934"/>
    <n v="3.1664702490066734"/>
  </r>
  <r>
    <d v="2015-10-08T00:00:00"/>
    <x v="10"/>
    <x v="2"/>
    <x v="3"/>
    <n v="59609.544710000002"/>
    <n v="57736.47666"/>
    <n v="1512"/>
    <n v="39.424302056878311"/>
    <x v="1"/>
    <n v="3.1422284117626869"/>
    <n v="38.185500436507937"/>
    <n v="3.142228411762694"/>
  </r>
  <r>
    <d v="2015-10-09T00:00:00"/>
    <x v="10"/>
    <x v="2"/>
    <x v="4"/>
    <n v="126588.253"/>
    <n v="122622.3631"/>
    <n v="3211"/>
    <n v="39.423311429461229"/>
    <x v="1"/>
    <n v="3.1329051519496005"/>
    <n v="38.1882164746185"/>
    <n v="3.1329051519496081"/>
  </r>
  <r>
    <d v="2015-10-10T00:00:00"/>
    <x v="10"/>
    <x v="2"/>
    <x v="5"/>
    <n v="119755.0116"/>
    <n v="116003.6869"/>
    <n v="3037"/>
    <n v="39.432009087915702"/>
    <x v="1"/>
    <n v="3.1324991329214633"/>
    <n v="38.196801745143233"/>
    <n v="3.1324991329214553"/>
  </r>
  <r>
    <d v="2015-10-11T00:00:00"/>
    <x v="10"/>
    <x v="2"/>
    <x v="6"/>
    <n v="57413.410479999999"/>
    <n v="55617.584640000001"/>
    <n v="1456"/>
    <n v="39.432287417582415"/>
    <x v="1"/>
    <n v="3.1278856716334151"/>
    <n v="38.198890549450553"/>
    <n v="3.1278856716334049"/>
  </r>
  <r>
    <d v="2015-10-12T00:00:00"/>
    <x v="10"/>
    <x v="2"/>
    <x v="0"/>
    <n v="57749.136939999997"/>
    <n v="55933.008580000002"/>
    <n v="1465"/>
    <n v="39.419206102389076"/>
    <x v="1"/>
    <n v="3.1448580121412202"/>
    <n v="38.179528040955631"/>
    <n v="3.1448580121412224"/>
  </r>
  <r>
    <d v="2015-10-13T00:00:00"/>
    <x v="10"/>
    <x v="2"/>
    <x v="1"/>
    <n v="40140.820030000003"/>
    <n v="38881.08844"/>
    <n v="1018"/>
    <n v="39.43106093320236"/>
    <x v="1"/>
    <n v="3.1382806555982636"/>
    <n v="38.193603575638505"/>
    <n v="3.1382806555982667"/>
  </r>
  <r>
    <d v="2015-10-14T00:00:00"/>
    <x v="10"/>
    <x v="2"/>
    <x v="2"/>
    <n v="42195.817360000001"/>
    <n v="40869.249470000002"/>
    <n v="1070"/>
    <n v="39.435343327102807"/>
    <x v="1"/>
    <n v="3.143837406163231"/>
    <n v="38.195560252336449"/>
    <n v="3.1438374061632413"/>
  </r>
  <r>
    <d v="2015-10-15T00:00:00"/>
    <x v="10"/>
    <x v="2"/>
    <x v="3"/>
    <n v="53490.797469999998"/>
    <n v="51799.1659"/>
    <n v="1357"/>
    <n v="39.4184211274871"/>
    <x v="1"/>
    <n v="3.1624721447623569"/>
    <n v="38.171824539425202"/>
    <n v="3.1624721447623538"/>
  </r>
  <r>
    <d v="2015-10-16T00:00:00"/>
    <x v="10"/>
    <x v="2"/>
    <x v="4"/>
    <n v="110809.3158"/>
    <n v="107331.98050000001"/>
    <n v="2810"/>
    <n v="39.43392021352313"/>
    <x v="1"/>
    <n v="3.1381254138201182"/>
    <n v="38.196434341637016"/>
    <n v="3.1381254138201102"/>
  </r>
  <r>
    <d v="2015-10-17T00:00:00"/>
    <x v="10"/>
    <x v="2"/>
    <x v="5"/>
    <n v="111527.0135"/>
    <n v="108023.6073"/>
    <n v="2829"/>
    <n v="39.422768999646522"/>
    <x v="1"/>
    <n v="3.1413072851627986"/>
    <n v="38.184378685047719"/>
    <n v="3.1413072851628123"/>
  </r>
  <r>
    <d v="2015-10-18T00:00:00"/>
    <x v="10"/>
    <x v="2"/>
    <x v="6"/>
    <n v="59808.13867"/>
    <n v="57937.458659999997"/>
    <n v="1517"/>
    <n v="39.425272689518785"/>
    <x v="1"/>
    <n v="3.1278017534064206"/>
    <n v="38.192128319050752"/>
    <n v="3.1278017534064237"/>
  </r>
  <r>
    <d v="2015-10-19T00:00:00"/>
    <x v="10"/>
    <x v="2"/>
    <x v="0"/>
    <n v="55166.22623"/>
    <n v="53436.897089999999"/>
    <n v="1399"/>
    <n v="39.432613459614011"/>
    <x v="1"/>
    <n v="3.1347606283417906"/>
    <n v="38.196495418155827"/>
    <n v="3.1347606283417857"/>
  </r>
  <r>
    <d v="2015-10-20T00:00:00"/>
    <x v="10"/>
    <x v="2"/>
    <x v="1"/>
    <n v="42054.680469999999"/>
    <n v="40736.150479999997"/>
    <n v="1067"/>
    <n v="39.413946082474226"/>
    <x v="1"/>
    <n v="3.1352752541791049"/>
    <n v="38.178210384254918"/>
    <n v="3.1352752541791027"/>
  </r>
  <r>
    <d v="2015-10-21T00:00:00"/>
    <x v="10"/>
    <x v="2"/>
    <x v="2"/>
    <n v="53678.179109999997"/>
    <n v="51999.860869999997"/>
    <n v="1361"/>
    <n v="39.440249162380603"/>
    <x v="1"/>
    <n v="3.126630351153878"/>
    <n v="38.207098361498893"/>
    <n v="3.1266303511538895"/>
  </r>
  <r>
    <d v="2015-10-22T00:00:00"/>
    <x v="10"/>
    <x v="2"/>
    <x v="3"/>
    <n v="55930.168640000004"/>
    <n v="54177.690060000001"/>
    <n v="1419"/>
    <n v="39.41519988724454"/>
    <x v="1"/>
    <n v="3.1333332664880782"/>
    <n v="38.180190317124733"/>
    <n v="3.1333332664880844"/>
  </r>
  <r>
    <d v="2015-10-23T00:00:00"/>
    <x v="10"/>
    <x v="2"/>
    <x v="4"/>
    <n v="185771.00150000001"/>
    <n v="192527.011"/>
    <n v="5042"/>
    <n v="36.844704779849266"/>
    <x v="1"/>
    <n v="-3.6367406352169471"/>
    <n v="38.184651130503767"/>
    <n v="-3.6367406352169507"/>
  </r>
  <r>
    <d v="2015-10-24T00:00:00"/>
    <x v="10"/>
    <x v="2"/>
    <x v="5"/>
    <n v="253116.91320000001"/>
    <n v="262409.56939999998"/>
    <n v="6872"/>
    <n v="36.833078172293369"/>
    <x v="1"/>
    <n v="-3.6712901095856001"/>
    <n v="38.185327328288707"/>
    <n v="-3.6712901095855974"/>
  </r>
  <r>
    <d v="2015-10-25T00:00:00"/>
    <x v="10"/>
    <x v="2"/>
    <x v="6"/>
    <n v="118618.4537"/>
    <n v="122915.26700000001"/>
    <n v="3218"/>
    <n v="36.860924083281539"/>
    <x v="1"/>
    <n v="-3.6223818183190573"/>
    <n v="38.19616749533872"/>
    <n v="-3.6223818183190577"/>
  </r>
  <r>
    <d v="2015-10-26T00:00:00"/>
    <x v="10"/>
    <x v="2"/>
    <x v="0"/>
    <n v="123320.784"/>
    <n v="128133.77860000001"/>
    <n v="3347"/>
    <n v="36.84517000298775"/>
    <x v="1"/>
    <n v="-3.9028251717893756"/>
    <n v="38.283172572452948"/>
    <n v="-3.9028251717893849"/>
  </r>
  <r>
    <d v="2015-10-27T00:00:00"/>
    <x v="10"/>
    <x v="2"/>
    <x v="1"/>
    <n v="117051.2772"/>
    <n v="122175.0003"/>
    <n v="3177"/>
    <n v="36.843335599622286"/>
    <x v="1"/>
    <n v="-4.3773320740835144"/>
    <n v="38.456090745986778"/>
    <n v="-4.3773320740835038"/>
  </r>
  <r>
    <d v="2015-10-28T00:00:00"/>
    <x v="10"/>
    <x v="2"/>
    <x v="2"/>
    <n v="159299.98910000001"/>
    <n v="174699.07670000001"/>
    <n v="4532"/>
    <n v="35.150041725507506"/>
    <x v="1"/>
    <n v="-9.6667223186897253"/>
    <n v="38.547898654015889"/>
    <n v="-9.6667223186897182"/>
  </r>
  <r>
    <d v="2015-10-29T00:00:00"/>
    <x v="10"/>
    <x v="2"/>
    <x v="3"/>
    <n v="119047.4099"/>
    <n v="124349.26549999999"/>
    <n v="3231"/>
    <n v="36.845376013618072"/>
    <x v="1"/>
    <n v="-4.4535665282038153"/>
    <n v="38.486309346951408"/>
    <n v="-4.4535665282038286"/>
  </r>
  <r>
    <d v="2015-10-30T00:00:00"/>
    <x v="10"/>
    <x v="2"/>
    <x v="4"/>
    <n v="285081.9743"/>
    <n v="297627.69069999998"/>
    <n v="7731"/>
    <n v="36.875174531108527"/>
    <x v="1"/>
    <n v="-4.4007399734077035"/>
    <n v="38.497955076962874"/>
    <n v="-4.4007399734076973"/>
  </r>
  <r>
    <d v="2015-10-31T00:00:00"/>
    <x v="10"/>
    <x v="2"/>
    <x v="5"/>
    <n v="391656.21260000003"/>
    <n v="429832.83480000001"/>
    <n v="11148"/>
    <n v="35.132419501255832"/>
    <x v="1"/>
    <n v="-9.7474828617080842"/>
    <n v="38.556946071044138"/>
    <n v="-9.7474828617080966"/>
  </r>
  <r>
    <d v="2015-11-01T00:00:00"/>
    <x v="11"/>
    <x v="2"/>
    <x v="6"/>
    <n v="274814.7781"/>
    <n v="287978.17489999998"/>
    <n v="7459"/>
    <n v="36.843380895562404"/>
    <x v="1"/>
    <n v="-4.7899159175530484"/>
    <n v="38.608147861643651"/>
    <n v="-4.7899159175530599"/>
  </r>
  <r>
    <d v="2015-11-02T00:00:00"/>
    <x v="11"/>
    <x v="2"/>
    <x v="0"/>
    <n v="269555.02309999999"/>
    <n v="281915.19209999999"/>
    <n v="7316"/>
    <n v="36.844590363586661"/>
    <x v="1"/>
    <n v="-4.5853973922847642"/>
    <n v="38.534061249316565"/>
    <n v="-4.5853973922847571"/>
  </r>
  <r>
    <d v="2015-11-03T00:00:00"/>
    <x v="11"/>
    <x v="2"/>
    <x v="1"/>
    <n v="192001.03460000001"/>
    <n v="201125.77549999999"/>
    <n v="5211"/>
    <n v="36.845333832277873"/>
    <x v="1"/>
    <n v="-4.7524436100095757"/>
    <n v="38.596387545576661"/>
    <n v="-4.7524436100095802"/>
  </r>
  <r>
    <d v="2015-11-04T00:00:00"/>
    <x v="11"/>
    <x v="2"/>
    <x v="2"/>
    <n v="201367.78700000001"/>
    <n v="220579.99559999999"/>
    <n v="5731"/>
    <n v="35.136588204501834"/>
    <x v="1"/>
    <n v="-9.5408550127235507"/>
    <n v="38.488919141511076"/>
    <n v="-9.5408550127235419"/>
  </r>
  <r>
    <d v="2015-11-05T00:00:00"/>
    <x v="11"/>
    <x v="2"/>
    <x v="3"/>
    <n v="111874.55899999999"/>
    <n v="116637.0343"/>
    <n v="3036"/>
    <n v="36.849327733860342"/>
    <x v="1"/>
    <n v="-4.2569779425901517"/>
    <n v="38.41799548748353"/>
    <n v="-4.2569779425901473"/>
  </r>
  <r>
    <d v="2015-11-06T00:00:00"/>
    <x v="11"/>
    <x v="2"/>
    <x v="4"/>
    <n v="214540.33309999999"/>
    <n v="223738.4327"/>
    <n v="5822"/>
    <n v="36.849936980419095"/>
    <x v="1"/>
    <n v="-4.2873521575603517"/>
    <n v="38.429823548608724"/>
    <n v="-4.2873521575603544"/>
  </r>
  <r>
    <d v="2015-11-07T00:00:00"/>
    <x v="11"/>
    <x v="2"/>
    <x v="5"/>
    <n v="280264.24449999997"/>
    <n v="306935.16039999999"/>
    <n v="7987"/>
    <n v="35.09005189683235"/>
    <x v="0"/>
    <n v="-9.5163462423049197"/>
    <n v="38.4293427319394"/>
    <n v="-9.5163462423049161"/>
  </r>
  <r>
    <d v="2015-11-08T00:00:00"/>
    <x v="11"/>
    <x v="2"/>
    <x v="6"/>
    <n v="134136.72870000001"/>
    <n v="140236.3033"/>
    <n v="3640"/>
    <n v="36.850749642857146"/>
    <x v="1"/>
    <n v="-4.5472814635593481"/>
    <n v="38.526456950549452"/>
    <n v="-4.5472814635593499"/>
  </r>
  <r>
    <d v="2015-11-09T00:00:00"/>
    <x v="11"/>
    <x v="2"/>
    <x v="0"/>
    <n v="94243.465530000001"/>
    <n v="89949.304170000003"/>
    <n v="2338"/>
    <n v="40.309437780153978"/>
    <x v="1"/>
    <n v="4.5564552787302395"/>
    <n v="38.472756274593671"/>
    <n v="4.5564552787302386"/>
  </r>
  <r>
    <d v="2015-11-10T00:00:00"/>
    <x v="11"/>
    <x v="2"/>
    <x v="1"/>
    <n v="131436.1979"/>
    <n v="143823.38639999999"/>
    <n v="3744"/>
    <n v="35.105822088675211"/>
    <x v="1"/>
    <n v="-9.4244878487922144"/>
    <n v="38.414366025641023"/>
    <n v="-9.4244878487922232"/>
  </r>
  <r>
    <d v="2015-11-11T00:00:00"/>
    <x v="11"/>
    <x v="2"/>
    <x v="2"/>
    <n v="147893.94149999999"/>
    <n v="161665.60060000001"/>
    <n v="4216"/>
    <n v="35.079208135673618"/>
    <x v="0"/>
    <n v="-9.3118480448369283"/>
    <n v="38.345730692599624"/>
    <n v="-9.3118480448369443"/>
  </r>
  <r>
    <d v="2015-11-12T00:00:00"/>
    <x v="11"/>
    <x v="2"/>
    <x v="3"/>
    <n v="140238.39050000001"/>
    <n v="153481.4534"/>
    <n v="4000"/>
    <n v="35.059597625000002"/>
    <x v="0"/>
    <n v="-9.4432507766124072"/>
    <n v="38.370363349999998"/>
    <n v="-9.4432507766124019"/>
  </r>
  <r>
    <d v="2015-11-13T00:00:00"/>
    <x v="11"/>
    <x v="2"/>
    <x v="4"/>
    <n v="358183.77399999998"/>
    <n v="391310.32069999998"/>
    <n v="10204"/>
    <n v="35.10229067032536"/>
    <x v="0"/>
    <n v="-9.248477766053135"/>
    <n v="38.348718218345745"/>
    <n v="-9.248477766053135"/>
  </r>
  <r>
    <d v="2015-11-14T00:00:00"/>
    <x v="11"/>
    <x v="2"/>
    <x v="5"/>
    <n v="377937.13870000001"/>
    <n v="413010.22899999999"/>
    <n v="10769"/>
    <n v="35.094914913176709"/>
    <x v="0"/>
    <n v="-9.2801386020547714"/>
    <n v="38.351771659392703"/>
    <n v="-9.2801386020547891"/>
  </r>
  <r>
    <d v="2015-11-15T00:00:00"/>
    <x v="11"/>
    <x v="2"/>
    <x v="6"/>
    <n v="168729.96239999999"/>
    <n v="184673.48850000001"/>
    <n v="4803"/>
    <n v="35.130119175515304"/>
    <x v="1"/>
    <n v="-9.4491374698486972"/>
    <n v="38.449612429731417"/>
    <n v="-9.4491374698486794"/>
  </r>
  <r>
    <d v="2015-11-16T00:00:00"/>
    <x v="11"/>
    <x v="2"/>
    <x v="0"/>
    <n v="177192.5698"/>
    <n v="193615.30369999999"/>
    <n v="5042"/>
    <n v="35.143310154700515"/>
    <x v="1"/>
    <n v="-9.2682971518143162"/>
    <n v="38.400496568821893"/>
    <n v="-9.2682971518143127"/>
  </r>
  <r>
    <d v="2015-11-17T00:00:00"/>
    <x v="11"/>
    <x v="2"/>
    <x v="1"/>
    <n v="152368.74909999999"/>
    <n v="166625.36499999999"/>
    <n v="4342"/>
    <n v="35.091835352372179"/>
    <x v="0"/>
    <n v="-9.356653502906525"/>
    <n v="38.375256794104097"/>
    <n v="-9.3566535029065125"/>
  </r>
  <r>
    <d v="2015-11-18T00:00:00"/>
    <x v="11"/>
    <x v="2"/>
    <x v="2"/>
    <n v="147471.80489999999"/>
    <n v="161402.91870000001"/>
    <n v="4202"/>
    <n v="35.095622298905283"/>
    <x v="0"/>
    <n v="-9.44662866874563"/>
    <n v="38.410975416468354"/>
    <n v="-9.44662866874563"/>
  </r>
  <r>
    <d v="2015-11-19T00:00:00"/>
    <x v="11"/>
    <x v="2"/>
    <x v="3"/>
    <n v="145697.152"/>
    <n v="159317.60939999999"/>
    <n v="4151"/>
    <n v="35.099289809684414"/>
    <x v="0"/>
    <n v="-9.3484719591498848"/>
    <n v="38.380537075403517"/>
    <n v="-9.3484719591498902"/>
  </r>
  <r>
    <d v="2015-11-20T00:00:00"/>
    <x v="11"/>
    <x v="2"/>
    <x v="4"/>
    <n v="301033.9865"/>
    <n v="328965.1433"/>
    <n v="8567"/>
    <n v="35.138786798179062"/>
    <x v="1"/>
    <n v="-9.2784064433203106"/>
    <n v="38.399106256565894"/>
    <n v="-9.2784064433203071"/>
  </r>
  <r>
    <d v="2015-11-21T00:00:00"/>
    <x v="11"/>
    <x v="2"/>
    <x v="5"/>
    <n v="309518.07209999999"/>
    <n v="338720.02360000001"/>
    <n v="8811"/>
    <n v="35.128597446373853"/>
    <x v="1"/>
    <n v="-9.434651521919978"/>
    <n v="38.442858199977302"/>
    <n v="-9.4346515219199656"/>
  </r>
  <r>
    <d v="2015-11-22T00:00:00"/>
    <x v="11"/>
    <x v="2"/>
    <x v="6"/>
    <n v="152504.6317"/>
    <n v="167600.65090000001"/>
    <n v="4345"/>
    <n v="35.098879562715766"/>
    <x v="0"/>
    <n v="-9.8987283413766711"/>
    <n v="38.573222301495974"/>
    <n v="-9.8987283413766676"/>
  </r>
  <r>
    <d v="2015-11-23T00:00:00"/>
    <x v="11"/>
    <x v="2"/>
    <x v="0"/>
    <n v="79711.583410000007"/>
    <n v="74375.788709999993"/>
    <n v="1937"/>
    <n v="41.152082297367066"/>
    <x v="1"/>
    <n v="6.6938761867959897"/>
    <n v="38.397412860092921"/>
    <n v="6.6938761867959977"/>
  </r>
  <r>
    <d v="2015-11-24T00:00:00"/>
    <x v="11"/>
    <x v="2"/>
    <x v="1"/>
    <n v="111021.37910000001"/>
    <n v="121456.524"/>
    <n v="3160"/>
    <n v="35.133347816455696"/>
    <x v="1"/>
    <n v="-9.3992211091169917"/>
    <n v="38.435608860759494"/>
    <n v="-9.3992211091169917"/>
  </r>
  <r>
    <d v="2015-11-25T00:00:00"/>
    <x v="11"/>
    <x v="2"/>
    <x v="2"/>
    <n v="243161.2592"/>
    <n v="266054.36989999999"/>
    <n v="6924"/>
    <n v="35.118610514153666"/>
    <x v="1"/>
    <n v="-9.4147853878197019"/>
    <n v="38.424952325245521"/>
    <n v="-9.4147853878197072"/>
  </r>
  <r>
    <d v="2015-11-26T00:00:00"/>
    <x v="11"/>
    <x v="2"/>
    <x v="3"/>
    <n v="311443.18119999999"/>
    <n v="355343.87180000002"/>
    <n v="9273"/>
    <n v="33.586021913080984"/>
    <x v="0"/>
    <n v="-14.095890759543794"/>
    <n v="38.320270872425326"/>
    <n v="-14.095890759543812"/>
  </r>
  <r>
    <d v="2015-11-27T00:00:00"/>
    <x v="11"/>
    <x v="2"/>
    <x v="4"/>
    <n v="375876.0134"/>
    <n v="431325.68670000002"/>
    <n v="11257"/>
    <n v="33.390424926712271"/>
    <x v="0"/>
    <n v="-14.752118071708809"/>
    <n v="38.316219836546153"/>
    <n v="-14.752118071708805"/>
  </r>
  <r>
    <d v="2015-11-28T00:00:00"/>
    <x v="11"/>
    <x v="2"/>
    <x v="5"/>
    <n v="434639.65899999999"/>
    <n v="498895.61859999999"/>
    <n v="13019"/>
    <n v="33.385026422920347"/>
    <x v="0"/>
    <n v="-14.783731366768812"/>
    <n v="38.320579046009676"/>
    <n v="-14.783731366768805"/>
  </r>
  <r>
    <d v="2015-11-29T00:00:00"/>
    <x v="11"/>
    <x v="2"/>
    <x v="6"/>
    <n v="238637.81640000001"/>
    <n v="274093.57799999998"/>
    <n v="7139"/>
    <n v="33.427345062333664"/>
    <x v="0"/>
    <n v="-14.857562030558357"/>
    <n v="38.393833590138669"/>
    <n v="-14.857562030558341"/>
  </r>
  <r>
    <d v="2015-11-30T00:00:00"/>
    <x v="11"/>
    <x v="2"/>
    <x v="0"/>
    <n v="260653.66699999999"/>
    <n v="283981.1507"/>
    <n v="7423"/>
    <n v="35.114329381651622"/>
    <x v="0"/>
    <n v="-8.9496088693047291"/>
    <n v="38.256924518388793"/>
    <n v="-8.9496088693047309"/>
  </r>
  <r>
    <d v="2015-12-01T00:00:00"/>
    <x v="0"/>
    <x v="2"/>
    <x v="1"/>
    <n v="262394.78000000003"/>
    <n v="285838.55680000002"/>
    <n v="7474"/>
    <n v="35.107677281241642"/>
    <x v="0"/>
    <n v="-8.9345438960332935"/>
    <n v="38.244388118811884"/>
    <n v="-8.9345438960332917"/>
  </r>
  <r>
    <d v="2015-12-02T00:00:00"/>
    <x v="0"/>
    <x v="2"/>
    <x v="2"/>
    <n v="248437.7113"/>
    <n v="269807.62040000001"/>
    <n v="7056"/>
    <n v="35.209426204648523"/>
    <x v="1"/>
    <n v="-8.6017171017144296"/>
    <n v="38.238041439909296"/>
    <n v="-8.6017171017144278"/>
  </r>
  <r>
    <d v="2015-12-03T00:00:00"/>
    <x v="0"/>
    <x v="2"/>
    <x v="3"/>
    <n v="201048.83050000001"/>
    <n v="219110.39319999999"/>
    <n v="5732"/>
    <n v="35.074813415910675"/>
    <x v="0"/>
    <n v="-8.9836696165213343"/>
    <n v="38.225818771807397"/>
    <n v="-8.9836696165213503"/>
  </r>
  <r>
    <d v="2015-12-04T00:00:00"/>
    <x v="0"/>
    <x v="2"/>
    <x v="4"/>
    <n v="317690.76089999999"/>
    <n v="345449.52990000002"/>
    <n v="9038"/>
    <n v="35.150559957955302"/>
    <x v="1"/>
    <n v="-8.7376695883005873"/>
    <n v="38.221899745518925"/>
    <n v="-8.7376695883005855"/>
  </r>
  <r>
    <d v="2015-12-05T00:00:00"/>
    <x v="0"/>
    <x v="2"/>
    <x v="5"/>
    <n v="378527.8726"/>
    <n v="410385.03700000001"/>
    <n v="10737"/>
    <n v="35.254528508894474"/>
    <x v="1"/>
    <n v="-8.4160683283854976"/>
    <n v="38.221573717053182"/>
    <n v="-8.41606832838551"/>
  </r>
  <r>
    <d v="2015-12-06T00:00:00"/>
    <x v="0"/>
    <x v="2"/>
    <x v="6"/>
    <n v="195425.39110000001"/>
    <n v="210461.38620000001"/>
    <n v="5505"/>
    <n v="35.499616911898279"/>
    <x v="1"/>
    <n v="-7.6939823506895362"/>
    <n v="38.230951171662127"/>
    <n v="-7.6939823506895264"/>
  </r>
  <r>
    <d v="2015-12-07T00:00:00"/>
    <x v="0"/>
    <x v="2"/>
    <x v="0"/>
    <n v="90441.603369999997"/>
    <n v="83999.591249999998"/>
    <n v="2198"/>
    <n v="41.147226282984533"/>
    <x v="1"/>
    <n v="7.1228415684377975"/>
    <n v="38.216374545040942"/>
    <n v="7.1228415684378126"/>
  </r>
  <r>
    <d v="2015-12-08T00:00:00"/>
    <x v="0"/>
    <x v="2"/>
    <x v="1"/>
    <n v="117649.0006"/>
    <n v="121640.3798"/>
    <n v="3190"/>
    <n v="36.880564451410656"/>
    <x v="1"/>
    <n v="-3.3926163245282983"/>
    <n v="38.131780501567398"/>
    <n v="-3.392616324528309"/>
  </r>
  <r>
    <d v="2015-12-09T00:00:00"/>
    <x v="0"/>
    <x v="2"/>
    <x v="2"/>
    <n v="141285.39550000001"/>
    <n v="145443.0466"/>
    <n v="3814"/>
    <n v="37.043889748295754"/>
    <x v="1"/>
    <n v="-2.9427323930306639"/>
    <n v="38.133992291557419"/>
    <n v="-2.9427323930306652"/>
  </r>
  <r>
    <d v="2015-12-10T00:00:00"/>
    <x v="0"/>
    <x v="2"/>
    <x v="3"/>
    <n v="133183.6937"/>
    <n v="137725.87609999999"/>
    <n v="3610"/>
    <n v="36.892989944598341"/>
    <x v="1"/>
    <n v="-3.4104643547665701"/>
    <n v="38.151212216066483"/>
    <n v="-3.4104643547665723"/>
  </r>
  <r>
    <d v="2015-12-11T00:00:00"/>
    <x v="0"/>
    <x v="2"/>
    <x v="4"/>
    <n v="229672.25630000001"/>
    <n v="237672.01639999999"/>
    <n v="6227"/>
    <n v="36.883291520796533"/>
    <x v="1"/>
    <n v="-3.483119915690045"/>
    <n v="38.167980793319416"/>
    <n v="-3.4831199156900481"/>
  </r>
  <r>
    <d v="2015-12-12T00:00:00"/>
    <x v="0"/>
    <x v="2"/>
    <x v="5"/>
    <n v="333488.79790000001"/>
    <n v="359621.07490000001"/>
    <n v="9422"/>
    <n v="35.394693048185097"/>
    <x v="1"/>
    <n v="-7.8360284257092294"/>
    <n v="38.168231256633412"/>
    <n v="-7.8360284257092347"/>
  </r>
  <r>
    <d v="2015-12-13T00:00:00"/>
    <x v="0"/>
    <x v="2"/>
    <x v="6"/>
    <n v="185422.88560000001"/>
    <n v="191390.4013"/>
    <n v="5014"/>
    <n v="36.981030235341045"/>
    <x v="1"/>
    <n v="-3.2183274899913372"/>
    <n v="38.171200897487033"/>
    <n v="-3.2183274899913341"/>
  </r>
  <r>
    <d v="2015-12-14T00:00:00"/>
    <x v="0"/>
    <x v="2"/>
    <x v="0"/>
    <n v="173833.13320000001"/>
    <n v="179871.0533"/>
    <n v="4715"/>
    <n v="36.868108844114531"/>
    <x v="1"/>
    <n v="-3.4734000295865277"/>
    <n v="38.148685747613996"/>
    <n v="-3.4734000295865224"/>
  </r>
  <r>
    <d v="2015-12-15T00:00:00"/>
    <x v="0"/>
    <x v="2"/>
    <x v="1"/>
    <n v="220271.72140000001"/>
    <n v="237123.34330000001"/>
    <n v="6212"/>
    <n v="35.459066548615581"/>
    <x v="1"/>
    <n v="-7.6503791739106086"/>
    <n v="38.171819591113973"/>
    <n v="-7.650379173910614"/>
  </r>
  <r>
    <d v="2015-12-16T00:00:00"/>
    <x v="0"/>
    <x v="2"/>
    <x v="2"/>
    <n v="234468.07120000001"/>
    <n v="251493.90890000001"/>
    <n v="6585"/>
    <n v="35.606388944570995"/>
    <x v="1"/>
    <n v="-7.2614738599001205"/>
    <n v="38.191937570235382"/>
    <n v="-7.2614738599001152"/>
  </r>
  <r>
    <d v="2015-12-17T00:00:00"/>
    <x v="0"/>
    <x v="2"/>
    <x v="3"/>
    <n v="213778.13810000001"/>
    <n v="230994.35519999999"/>
    <n v="6051"/>
    <n v="35.329389869443069"/>
    <x v="1"/>
    <n v="-8.0533104334301324"/>
    <n v="38.174575309866135"/>
    <n v="-8.0533104334301289"/>
  </r>
  <r>
    <d v="2015-12-18T00:00:00"/>
    <x v="0"/>
    <x v="2"/>
    <x v="4"/>
    <n v="273563.0148"/>
    <n v="295854.55229999998"/>
    <n v="7750"/>
    <n v="35.298453522580644"/>
    <x v="1"/>
    <n v="-8.1485933017287309"/>
    <n v="38.174780941935481"/>
    <n v="-8.1485933017287344"/>
  </r>
  <r>
    <d v="2015-12-19T00:00:00"/>
    <x v="0"/>
    <x v="2"/>
    <x v="5"/>
    <n v="337506.78840000002"/>
    <n v="362223.16090000002"/>
    <n v="9490"/>
    <n v="35.564466638566913"/>
    <x v="1"/>
    <n v="-7.3232223319630263"/>
    <n v="38.168931601685991"/>
    <n v="-7.3232223319630414"/>
  </r>
  <r>
    <d v="2015-12-20T00:00:00"/>
    <x v="0"/>
    <x v="2"/>
    <x v="6"/>
    <n v="155312.78390000001"/>
    <n v="167421.9737"/>
    <n v="4382"/>
    <n v="35.443355522592427"/>
    <x v="1"/>
    <n v="-7.7966471889375448"/>
    <n v="38.206748904609768"/>
    <n v="-7.7966471889375404"/>
  </r>
  <r>
    <d v="2015-12-21T00:00:00"/>
    <x v="0"/>
    <x v="2"/>
    <x v="0"/>
    <n v="289243.38309999998"/>
    <n v="312784.9743"/>
    <n v="8196"/>
    <n v="35.290798328452901"/>
    <x v="1"/>
    <n v="-8.1390249787878464"/>
    <n v="38.163125219619324"/>
    <n v="-8.139024978787841"/>
  </r>
  <r>
    <d v="2015-12-22T00:00:00"/>
    <x v="0"/>
    <x v="2"/>
    <x v="1"/>
    <n v="313125.33250000002"/>
    <n v="338299.61780000001"/>
    <n v="8863"/>
    <n v="35.329497066456057"/>
    <x v="1"/>
    <n v="-8.0396833750268311"/>
    <n v="38.169876768588516"/>
    <n v="-8.0396833750268311"/>
  </r>
  <r>
    <d v="2015-12-23T00:00:00"/>
    <x v="0"/>
    <x v="2"/>
    <x v="2"/>
    <n v="268330.39270000003"/>
    <n v="249584.21520000001"/>
    <n v="6534"/>
    <n v="41.06678798591981"/>
    <x v="1"/>
    <n v="6.9862296668565262"/>
    <n v="38.19776786042241"/>
    <n v="6.9862296668565218"/>
  </r>
  <r>
    <d v="2015-12-24T00:00:00"/>
    <x v="0"/>
    <x v="2"/>
    <x v="3"/>
    <n v="392228.13799999998"/>
    <n v="364396.19420000003"/>
    <n v="9540"/>
    <n v="41.114060587002093"/>
    <x v="1"/>
    <n v="7.0958559836928252"/>
    <n v="38.19666605870021"/>
    <n v="7.0958559836928305"/>
  </r>
  <r>
    <d v="2015-12-25T00:00:00"/>
    <x v="0"/>
    <x v="2"/>
    <x v="4"/>
    <n v="133728.98370000001"/>
    <n v="124363.5573"/>
    <n v="3256"/>
    <n v="41.071555190417691"/>
    <x v="1"/>
    <n v="7.0032883978314491"/>
    <n v="38.195195730958233"/>
    <n v="7.0032883978314375"/>
  </r>
  <r>
    <d v="2015-12-26T00:00:00"/>
    <x v="0"/>
    <x v="2"/>
    <x v="5"/>
    <n v="82778.444050000006"/>
    <n v="76876.492700000003"/>
    <n v="2013"/>
    <n v="41.121929483358173"/>
    <x v="1"/>
    <n v="7.1298167267254922"/>
    <n v="38.190011276701441"/>
    <n v="7.1298167267254904"/>
  </r>
  <r>
    <d v="2015-12-27T00:00:00"/>
    <x v="0"/>
    <x v="2"/>
    <x v="6"/>
    <n v="69522.836970000004"/>
    <n v="64616.076650000003"/>
    <n v="1692"/>
    <n v="41.089147145390072"/>
    <x v="1"/>
    <n v="7.0577676830382101"/>
    <n v="38.189170596926715"/>
    <n v="7.0577676830382092"/>
  </r>
  <r>
    <d v="2015-12-28T00:00:00"/>
    <x v="0"/>
    <x v="2"/>
    <x v="0"/>
    <n v="133021.27280000001"/>
    <n v="123500.78780000001"/>
    <n v="3234"/>
    <n v="41.132118985776131"/>
    <x v="1"/>
    <n v="7.1571146476054466"/>
    <n v="38.188246072974643"/>
    <n v="7.1571146476054555"/>
  </r>
  <r>
    <d v="2015-12-29T00:00:00"/>
    <x v="0"/>
    <x v="2"/>
    <x v="1"/>
    <n v="161267.52059999999"/>
    <n v="175378.1459"/>
    <n v="4592"/>
    <n v="35.119233580139372"/>
    <x v="1"/>
    <n v="-8.7498246686630186"/>
    <n v="38.192104943379789"/>
    <n v="-8.7498246686630043"/>
  </r>
  <r>
    <d v="2015-12-30T00:00:00"/>
    <x v="0"/>
    <x v="2"/>
    <x v="2"/>
    <n v="208583.21799999999"/>
    <n v="227060.26269999999"/>
    <n v="5945"/>
    <n v="35.085486627418"/>
    <x v="0"/>
    <n v="-8.858356332387201"/>
    <n v="38.193484053826744"/>
    <n v="-8.8583563323871921"/>
  </r>
  <r>
    <d v="2015-12-31T00:00:00"/>
    <x v="0"/>
    <x v="2"/>
    <x v="3"/>
    <n v="325457.52500000002"/>
    <n v="353929.73839999997"/>
    <n v="9266"/>
    <n v="35.123842542628971"/>
    <x v="1"/>
    <n v="-8.7483653665712442"/>
    <n v="38.196604619037338"/>
    <n v="-8.7483653665712353"/>
  </r>
  <r>
    <d v="2016-01-01T00:00:00"/>
    <x v="1"/>
    <x v="3"/>
    <x v="4"/>
    <n v="111650.2398"/>
    <n v="121448.2838"/>
    <n v="3179"/>
    <n v="35.121182698961938"/>
    <x v="1"/>
    <n v="-8.7756587156026953"/>
    <n v="38.203297829506134"/>
    <n v="-8.7756587156026846"/>
  </r>
  <r>
    <d v="2016-01-02T00:00:00"/>
    <x v="1"/>
    <x v="3"/>
    <x v="5"/>
    <n v="262421.2819"/>
    <n v="285675.84570000001"/>
    <n v="7479"/>
    <n v="35.087749953202298"/>
    <x v="0"/>
    <n v="-8.8615388323808055"/>
    <n v="38.197064540714003"/>
    <n v="-8.8615388323808197"/>
  </r>
  <r>
    <d v="2016-01-03T00:00:00"/>
    <x v="1"/>
    <x v="3"/>
    <x v="6"/>
    <n v="164527.53890000001"/>
    <n v="179308.94949999999"/>
    <n v="4694"/>
    <n v="35.050604793353223"/>
    <x v="0"/>
    <n v="-8.9841559041274728"/>
    <n v="38.199605773327647"/>
    <n v="-8.984155904127455"/>
  </r>
  <r>
    <d v="2016-01-04T00:00:00"/>
    <x v="1"/>
    <x v="3"/>
    <x v="0"/>
    <n v="274990.14649999997"/>
    <n v="299576.2414"/>
    <n v="7843"/>
    <n v="35.061857261252065"/>
    <x v="0"/>
    <n v="-8.9407184995263194"/>
    <n v="38.196639219686347"/>
    <n v="-8.9407184995263371"/>
  </r>
  <r>
    <d v="2016-01-05T00:00:00"/>
    <x v="1"/>
    <x v="3"/>
    <x v="1"/>
    <n v="215737.84280000001"/>
    <n v="234642.0857"/>
    <n v="6150"/>
    <n v="35.079324032520326"/>
    <x v="0"/>
    <n v="-8.76259939130159"/>
    <n v="38.153184666666668"/>
    <n v="-8.7625993913016007"/>
  </r>
  <r>
    <d v="2016-01-06T00:00:00"/>
    <x v="1"/>
    <x v="3"/>
    <x v="2"/>
    <n v="98646.982699999993"/>
    <n v="91610.559999999998"/>
    <n v="2401"/>
    <n v="41.085790379008742"/>
    <x v="1"/>
    <n v="7.1329325108693826"/>
    <n v="38.15516867971678"/>
    <n v="7.1329325108693871"/>
  </r>
  <r>
    <d v="2016-01-07T00:00:00"/>
    <x v="1"/>
    <x v="3"/>
    <x v="3"/>
    <n v="74401.215289999993"/>
    <n v="68988.861260000005"/>
    <n v="1808"/>
    <n v="41.151114651548667"/>
    <x v="1"/>
    <n v="7.2745505687021259"/>
    <n v="38.157556006637172"/>
    <n v="7.2745505687021206"/>
  </r>
  <r>
    <d v="2016-01-08T00:00:00"/>
    <x v="1"/>
    <x v="3"/>
    <x v="4"/>
    <n v="106592.34299999999"/>
    <n v="99021.682920000007"/>
    <n v="2594"/>
    <n v="41.091882420971473"/>
    <x v="1"/>
    <n v="7.1024426960949603"/>
    <n v="38.173355019275256"/>
    <n v="7.1024426960949585"/>
  </r>
  <r>
    <d v="2016-01-09T00:00:00"/>
    <x v="1"/>
    <x v="3"/>
    <x v="5"/>
    <n v="134629.65820000001"/>
    <n v="124963.46550000001"/>
    <n v="3274"/>
    <n v="41.120848564447158"/>
    <x v="1"/>
    <n v="7.1798389962784581"/>
    <n v="38.168437843616374"/>
    <n v="7.1798389962784492"/>
  </r>
  <r>
    <d v="2016-01-10T00:00:00"/>
    <x v="1"/>
    <x v="3"/>
    <x v="6"/>
    <n v="90773.653059999997"/>
    <n v="84299.288239999994"/>
    <n v="2207"/>
    <n v="41.129883579519706"/>
    <x v="1"/>
    <n v="7.1324273087484391"/>
    <n v="38.196324531037604"/>
    <n v="7.1324273087484364"/>
  </r>
  <r>
    <d v="2016-01-11T00:00:00"/>
    <x v="1"/>
    <x v="3"/>
    <x v="0"/>
    <n v="121373.06819999999"/>
    <n v="112550.4323"/>
    <n v="2949"/>
    <n v="41.157364598168868"/>
    <x v="1"/>
    <n v="7.2690227171829829"/>
    <n v="38.165626415734145"/>
    <n v="7.2690227171829864"/>
  </r>
  <r>
    <d v="2016-01-12T00:00:00"/>
    <x v="1"/>
    <x v="3"/>
    <x v="1"/>
    <n v="99445.557100000005"/>
    <n v="92226.518100000001"/>
    <n v="2417"/>
    <n v="41.144210633016137"/>
    <x v="1"/>
    <n v="7.2592876047149257"/>
    <n v="38.1574340504758"/>
    <n v="7.259287604714916"/>
  </r>
  <r>
    <d v="2016-01-13T00:00:00"/>
    <x v="1"/>
    <x v="3"/>
    <x v="2"/>
    <n v="67587.546929999997"/>
    <n v="62760.356829999997"/>
    <n v="1644"/>
    <n v="41.111646551094886"/>
    <x v="1"/>
    <n v="7.1421294591435469"/>
    <n v="38.17539953163017"/>
    <n v="7.1421294591435371"/>
  </r>
  <r>
    <d v="2016-01-14T00:00:00"/>
    <x v="1"/>
    <x v="3"/>
    <x v="3"/>
    <n v="61685.935239999999"/>
    <n v="57191.439319999998"/>
    <n v="1499"/>
    <n v="41.151391087391595"/>
    <x v="1"/>
    <n v="7.2860951244613101"/>
    <n v="38.153061587725148"/>
    <n v="7.2860951244613146"/>
  </r>
  <r>
    <d v="2016-01-15T00:00:00"/>
    <x v="1"/>
    <x v="3"/>
    <x v="4"/>
    <n v="150006.92980000001"/>
    <n v="139244.8958"/>
    <n v="3648"/>
    <n v="41.120320668859655"/>
    <x v="1"/>
    <n v="7.1743578875647476"/>
    <n v="38.170201699561403"/>
    <n v="7.1743578875647529"/>
  </r>
  <r>
    <d v="2016-01-16T00:00:00"/>
    <x v="1"/>
    <x v="3"/>
    <x v="5"/>
    <n v="191287.3535"/>
    <n v="177577.28719999999"/>
    <n v="4652"/>
    <n v="41.119379514187443"/>
    <x v="1"/>
    <n v="7.167262262322013"/>
    <n v="38.172245743766119"/>
    <n v="7.1672622623220104"/>
  </r>
  <r>
    <d v="2016-01-17T00:00:00"/>
    <x v="1"/>
    <x v="3"/>
    <x v="6"/>
    <n v="92595.46084"/>
    <n v="86018.189610000001"/>
    <n v="2252"/>
    <n v="41.116989715808174"/>
    <x v="1"/>
    <n v="7.1032328910432998"/>
    <n v="38.196354178507995"/>
    <n v="7.1032328910433025"/>
  </r>
  <r>
    <d v="2016-01-18T00:00:00"/>
    <x v="1"/>
    <x v="3"/>
    <x v="0"/>
    <n v="96947.05429"/>
    <n v="89961.359500000006"/>
    <n v="2357"/>
    <n v="41.131546156130675"/>
    <x v="1"/>
    <n v="7.2056802975194287"/>
    <n v="38.167738438693256"/>
    <n v="7.2056802975194305"/>
  </r>
  <r>
    <d v="2016-01-19T00:00:00"/>
    <x v="1"/>
    <x v="3"/>
    <x v="1"/>
    <n v="70512.894499999995"/>
    <n v="65453.276389999999"/>
    <n v="1715"/>
    <n v="41.115390379008744"/>
    <x v="1"/>
    <n v="7.1754508815405336"/>
    <n v="38.165175737609331"/>
    <n v="7.1754508815405282"/>
  </r>
  <r>
    <d v="2016-01-20T00:00:00"/>
    <x v="1"/>
    <x v="3"/>
    <x v="2"/>
    <n v="159590.4901"/>
    <n v="182351.13879999999"/>
    <n v="4776"/>
    <n v="33.415094242043551"/>
    <x v="0"/>
    <n v="-14.2619078904627"/>
    <n v="38.180724204355108"/>
    <n v="-14.261907890462702"/>
  </r>
  <r>
    <d v="2016-01-21T00:00:00"/>
    <x v="1"/>
    <x v="3"/>
    <x v="3"/>
    <n v="67046.273419999998"/>
    <n v="61894.262560000003"/>
    <n v="1628"/>
    <n v="41.18321463144963"/>
    <x v="1"/>
    <n v="7.6842613275850518"/>
    <n v="38.018588796068798"/>
    <n v="7.68426132758505"/>
  </r>
  <r>
    <d v="2016-01-22T00:00:00"/>
    <x v="1"/>
    <x v="3"/>
    <x v="4"/>
    <n v="266949.23879999999"/>
    <n v="294322.92719999998"/>
    <n v="7806"/>
    <n v="34.197955265180632"/>
    <x v="0"/>
    <n v="-10.254267261840189"/>
    <n v="37.704704996156799"/>
    <n v="-10.25426726184018"/>
  </r>
  <r>
    <d v="2016-01-23T00:00:00"/>
    <x v="1"/>
    <x v="3"/>
    <x v="5"/>
    <n v="315272.22480000003"/>
    <n v="346093.06699999998"/>
    <n v="9210"/>
    <n v="34.231511921824108"/>
    <x v="0"/>
    <n v="-9.7759459208789625"/>
    <n v="37.577966015200865"/>
    <n v="-9.7759459208789536"/>
  </r>
  <r>
    <d v="2016-01-24T00:00:00"/>
    <x v="1"/>
    <x v="3"/>
    <x v="6"/>
    <n v="149138.9215"/>
    <n v="163505.71299999999"/>
    <n v="4351"/>
    <n v="34.276929786256034"/>
    <x v="0"/>
    <n v="-9.6331603819463005"/>
    <n v="37.578881406573196"/>
    <n v="-9.6331603819462863"/>
  </r>
  <r>
    <d v="2016-01-25T00:00:00"/>
    <x v="1"/>
    <x v="3"/>
    <x v="0"/>
    <n v="215171.03820000001"/>
    <n v="234621.59890000001"/>
    <n v="6278"/>
    <n v="34.273819401083152"/>
    <x v="0"/>
    <n v="-9.0395811921123137"/>
    <n v="37.372029133482002"/>
    <n v="-9.0395811921123013"/>
  </r>
  <r>
    <d v="2016-01-26T00:00:00"/>
    <x v="1"/>
    <x v="3"/>
    <x v="1"/>
    <n v="205197.89840000001"/>
    <n v="221931.58009999999"/>
    <n v="5992"/>
    <n v="34.245310146862487"/>
    <x v="0"/>
    <n v="-8.1548991634311907"/>
    <n v="37.037980657543393"/>
    <n v="-8.1548991634311943"/>
  </r>
  <r>
    <d v="2016-01-27T00:00:00"/>
    <x v="1"/>
    <x v="3"/>
    <x v="2"/>
    <n v="214452.24840000001"/>
    <n v="231730.23269999999"/>
    <n v="6265"/>
    <n v="34.230207246608146"/>
    <x v="0"/>
    <n v="-8.0567979253697484"/>
    <n v="36.988065873902634"/>
    <n v="-8.0567979253697448"/>
  </r>
  <r>
    <d v="2016-01-28T00:00:00"/>
    <x v="1"/>
    <x v="3"/>
    <x v="3"/>
    <n v="195767.9736"/>
    <n v="210639.84820000001"/>
    <n v="5723"/>
    <n v="34.207229355233267"/>
    <x v="0"/>
    <n v="-7.5966841391466549"/>
    <n v="36.80584452210379"/>
    <n v="-7.5966841391466522"/>
  </r>
  <r>
    <d v="2016-01-29T00:00:00"/>
    <x v="1"/>
    <x v="3"/>
    <x v="4"/>
    <n v="397984.32929999998"/>
    <n v="437198.92959999997"/>
    <n v="11900"/>
    <n v="33.444061285714284"/>
    <x v="0"/>
    <n v="-9.8533026084150386"/>
    <n v="36.739405848739494"/>
    <n v="-9.8533026084150421"/>
  </r>
  <r>
    <d v="2016-01-30T00:00:00"/>
    <x v="1"/>
    <x v="3"/>
    <x v="5"/>
    <n v="512603.10350000003"/>
    <n v="561872.20600000001"/>
    <n v="15345"/>
    <n v="33.405220169436298"/>
    <x v="0"/>
    <n v="-9.6115497864908992"/>
    <n v="36.615979537308569"/>
    <n v="-9.6115497864909045"/>
  </r>
  <r>
    <d v="2016-01-31T00:00:00"/>
    <x v="1"/>
    <x v="3"/>
    <x v="6"/>
    <n v="218104.06690000001"/>
    <n v="238662.19209999999"/>
    <n v="6525"/>
    <n v="33.425910636015324"/>
    <x v="0"/>
    <n v="-9.4258330402549593"/>
    <n v="36.576581164750955"/>
    <n v="-9.4258330402549664"/>
  </r>
  <r>
    <d v="2016-02-01T00:00:00"/>
    <x v="2"/>
    <x v="3"/>
    <x v="0"/>
    <n v="339004.33689999999"/>
    <n v="371177.18689999997"/>
    <n v="10153"/>
    <n v="33.389573219738011"/>
    <x v="0"/>
    <n v="-9.4903948115243058"/>
    <n v="36.558375544174133"/>
    <n v="-9.4903948115242951"/>
  </r>
  <r>
    <d v="2016-02-02T00:00:00"/>
    <x v="2"/>
    <x v="3"/>
    <x v="1"/>
    <n v="278116.36930000002"/>
    <n v="295645.62910000002"/>
    <n v="8116"/>
    <n v="34.267665019714144"/>
    <x v="0"/>
    <n v="-6.3028507973550614"/>
    <n v="36.427504817644163"/>
    <n v="-6.3028507973550738"/>
  </r>
  <r>
    <d v="2016-02-03T00:00:00"/>
    <x v="2"/>
    <x v="3"/>
    <x v="2"/>
    <n v="264159.30060000002"/>
    <n v="280392.27360000001"/>
    <n v="7712"/>
    <n v="34.253021343360999"/>
    <x v="0"/>
    <n v="-6.1451453585503613"/>
    <n v="36.357919294605814"/>
    <n v="-6.1451453585503693"/>
  </r>
  <r>
    <d v="2016-02-04T00:00:00"/>
    <x v="2"/>
    <x v="3"/>
    <x v="3"/>
    <n v="197778.13370000001"/>
    <n v="209372.2922"/>
    <n v="5759"/>
    <n v="34.342443774960934"/>
    <x v="0"/>
    <n v="-5.8622044222475083"/>
    <n v="36.355668032644559"/>
    <n v="-5.8622044222475109"/>
  </r>
  <r>
    <d v="2016-02-05T00:00:00"/>
    <x v="2"/>
    <x v="3"/>
    <x v="4"/>
    <n v="325749.00890000002"/>
    <n v="345287.81150000001"/>
    <n v="9501"/>
    <n v="34.285760330491527"/>
    <x v="0"/>
    <n v="-5.9981157474520854"/>
    <n v="36.342259920008424"/>
    <n v="-5.9981157474520961"/>
  </r>
  <r>
    <d v="2016-02-06T00:00:00"/>
    <x v="2"/>
    <x v="3"/>
    <x v="5"/>
    <n v="371561.97639999999"/>
    <n v="393884.43300000002"/>
    <n v="10840"/>
    <n v="34.276935092250923"/>
    <x v="0"/>
    <n v="-6.007734380217931"/>
    <n v="36.336202306273066"/>
    <n v="-6.0077343802179284"/>
  </r>
  <r>
    <d v="2016-02-07T00:00:00"/>
    <x v="2"/>
    <x v="3"/>
    <x v="6"/>
    <n v="174581.67679999999"/>
    <n v="185040.8173"/>
    <n v="5089"/>
    <n v="34.305694006681072"/>
    <x v="0"/>
    <n v="-5.9909726448451721"/>
    <n v="36.36093875024563"/>
    <n v="-5.9909726448451863"/>
  </r>
  <r>
    <d v="2016-02-08T00:00:00"/>
    <x v="2"/>
    <x v="3"/>
    <x v="0"/>
    <n v="208489.3694"/>
    <n v="221372.83689999999"/>
    <n v="6087"/>
    <n v="34.251580318712008"/>
    <x v="0"/>
    <n v="-6.1794361684131021"/>
    <n v="36.368134861179563"/>
    <n v="-6.1794361684131038"/>
  </r>
  <r>
    <d v="2016-02-09T00:00:00"/>
    <x v="2"/>
    <x v="3"/>
    <x v="1"/>
    <n v="84495.166670000006"/>
    <n v="74682.266820000004"/>
    <n v="2053"/>
    <n v="41.156924827082321"/>
    <x v="1"/>
    <n v="11.613563516981699"/>
    <n v="36.377139220652708"/>
    <n v="11.613563516981692"/>
  </r>
  <r>
    <d v="2016-02-10T00:00:00"/>
    <x v="2"/>
    <x v="3"/>
    <x v="2"/>
    <n v="76661.250029999996"/>
    <n v="66379.563599999994"/>
    <n v="1825"/>
    <n v="42.006164399999996"/>
    <x v="1"/>
    <n v="13.411842914088211"/>
    <n v="36.372363616438356"/>
    <n v="13.411842914088201"/>
  </r>
  <r>
    <d v="2016-02-11T00:00:00"/>
    <x v="2"/>
    <x v="3"/>
    <x v="3"/>
    <n v="64034.940459999998"/>
    <n v="55491.338530000001"/>
    <n v="1525"/>
    <n v="41.990124891803276"/>
    <x v="1"/>
    <n v="13.342093970301782"/>
    <n v="36.387762970491806"/>
    <n v="13.342093970301775"/>
  </r>
  <r>
    <d v="2016-02-12T00:00:00"/>
    <x v="2"/>
    <x v="3"/>
    <x v="4"/>
    <n v="148839.9749"/>
    <n v="129583.4921"/>
    <n v="3542"/>
    <n v="42.021449717673633"/>
    <x v="1"/>
    <n v="12.937708981029933"/>
    <n v="36.584836843591191"/>
    <n v="12.937708981029941"/>
  </r>
  <r>
    <d v="2016-02-13T00:00:00"/>
    <x v="2"/>
    <x v="3"/>
    <x v="5"/>
    <n v="172541.5079"/>
    <n v="150538.98370000001"/>
    <n v="4105"/>
    <n v="42.032036029232643"/>
    <x v="1"/>
    <n v="12.752018031946264"/>
    <n v="36.672103215590745"/>
    <n v="12.752018031946266"/>
  </r>
  <r>
    <d v="2016-02-14T00:00:00"/>
    <x v="2"/>
    <x v="3"/>
    <x v="6"/>
    <n v="87991.663"/>
    <n v="76378.504639999999"/>
    <n v="2094"/>
    <n v="42.020851480420248"/>
    <x v="1"/>
    <n v="13.198021226170031"/>
    <n v="36.474930582616999"/>
    <n v="13.198021226170034"/>
  </r>
  <r>
    <d v="2016-02-15T00:00:00"/>
    <x v="2"/>
    <x v="3"/>
    <x v="0"/>
    <n v="123445.38159999999"/>
    <n v="108669.2254"/>
    <n v="2940"/>
    <n v="41.988225034013603"/>
    <x v="1"/>
    <n v="11.969792639046773"/>
    <n v="36.962321564625846"/>
    <n v="11.969792639046778"/>
  </r>
  <r>
    <d v="2016-02-16T00:00:00"/>
    <x v="2"/>
    <x v="3"/>
    <x v="1"/>
    <n v="77344.691869999995"/>
    <n v="68269.24884"/>
    <n v="1841"/>
    <n v="42.012325839217816"/>
    <x v="1"/>
    <n v="11.733763249395173"/>
    <n v="37.082698989679521"/>
    <n v="11.73376324939518"/>
  </r>
  <r>
    <d v="2016-02-17T00:00:00"/>
    <x v="2"/>
    <x v="3"/>
    <x v="2"/>
    <n v="158963.02489999999"/>
    <n v="167521.52590000001"/>
    <n v="4529"/>
    <n v="35.098923581364538"/>
    <x v="0"/>
    <n v="-5.3839570588091012"/>
    <n v="36.988634555089426"/>
    <n v="-5.3839570588091012"/>
  </r>
  <r>
    <d v="2016-02-18T00:00:00"/>
    <x v="2"/>
    <x v="3"/>
    <x v="3"/>
    <n v="69598.071150000003"/>
    <n v="61492.968309999997"/>
    <n v="1658"/>
    <n v="41.977123733413755"/>
    <x v="1"/>
    <n v="11.645585439475225"/>
    <n v="37.088641924004826"/>
    <n v="11.645585439475221"/>
  </r>
  <r>
    <d v="2016-02-19T00:00:00"/>
    <x v="2"/>
    <x v="3"/>
    <x v="4"/>
    <n v="161275.60219999999"/>
    <n v="143446.35829999999"/>
    <n v="3841"/>
    <n v="41.987920385316322"/>
    <x v="1"/>
    <n v="11.055140180403557"/>
    <n v="37.346096927883359"/>
    <n v="11.055140180403562"/>
  </r>
  <r>
    <d v="2016-02-20T00:00:00"/>
    <x v="2"/>
    <x v="3"/>
    <x v="5"/>
    <n v="325215.07679999998"/>
    <n v="345446.00180000003"/>
    <n v="9260"/>
    <n v="35.120418660907127"/>
    <x v="0"/>
    <n v="-6.2207832426052052"/>
    <n v="37.305183779697629"/>
    <n v="-6.2207832426052034"/>
  </r>
  <r>
    <d v="2016-02-21T00:00:00"/>
    <x v="2"/>
    <x v="3"/>
    <x v="6"/>
    <n v="96957.295840000006"/>
    <n v="86455.494380000004"/>
    <n v="2308"/>
    <n v="42.009226967071058"/>
    <x v="1"/>
    <n v="10.831367942986148"/>
    <n v="37.459053024263433"/>
    <n v="10.831367942986143"/>
  </r>
  <r>
    <d v="2016-02-22T00:00:00"/>
    <x v="2"/>
    <x v="3"/>
    <x v="0"/>
    <n v="85224.47709"/>
    <n v="75960.71802"/>
    <n v="2028"/>
    <n v="42.023903890532544"/>
    <x v="1"/>
    <n v="10.869833862655618"/>
    <n v="37.455975355029587"/>
    <n v="10.869833862655618"/>
  </r>
  <r>
    <d v="2016-02-23T00:00:00"/>
    <x v="2"/>
    <x v="3"/>
    <x v="1"/>
    <n v="54612.878839999998"/>
    <n v="49071.802539999997"/>
    <n v="1301"/>
    <n v="41.977616325903149"/>
    <x v="1"/>
    <n v="10.146098168957103"/>
    <n v="37.71852616448885"/>
    <n v="10.146098168957106"/>
  </r>
  <r>
    <d v="2016-02-24T00:00:00"/>
    <x v="2"/>
    <x v="3"/>
    <x v="2"/>
    <n v="81530.612380000006"/>
    <n v="81738.05644"/>
    <n v="2213"/>
    <n v="36.841668495255313"/>
    <x v="1"/>
    <n v="-0.25443701935309115"/>
    <n v="36.935407338454588"/>
    <n v="-0.25443701935309493"/>
  </r>
  <r>
    <d v="2016-02-25T00:00:00"/>
    <x v="2"/>
    <x v="3"/>
    <x v="3"/>
    <n v="160947.53260000001"/>
    <n v="162597.49679999999"/>
    <n v="4404"/>
    <n v="36.545761262488647"/>
    <x v="1"/>
    <n v="-1.0251565670786726"/>
    <n v="36.920412534059942"/>
    <n v="-1.0251565670786709"/>
  </r>
  <r>
    <d v="2016-02-26T00:00:00"/>
    <x v="2"/>
    <x v="3"/>
    <x v="4"/>
    <n v="188736.24739999999"/>
    <n v="183103.23370000001"/>
    <n v="4935"/>
    <n v="38.244427031408307"/>
    <x v="1"/>
    <n v="2.9845955811877509"/>
    <n v="37.102985552178318"/>
    <n v="2.9845955811877598"/>
  </r>
  <r>
    <d v="2016-02-27T00:00:00"/>
    <x v="2"/>
    <x v="3"/>
    <x v="5"/>
    <n v="215951.5079"/>
    <n v="210032.78810000001"/>
    <n v="5609"/>
    <n v="38.500892832947052"/>
    <x v="1"/>
    <n v="2.7407633581983393"/>
    <n v="37.445674469602423"/>
    <n v="2.7407633581983544"/>
  </r>
  <r>
    <d v="2016-02-28T00:00:00"/>
    <x v="2"/>
    <x v="3"/>
    <x v="6"/>
    <n v="134995.85449999999"/>
    <n v="129938.7058"/>
    <n v="3452"/>
    <n v="39.106562717265348"/>
    <x v="1"/>
    <n v="3.7461511086623709"/>
    <n v="37.641571784472767"/>
    <n v="3.7461511086623709"/>
  </r>
  <r>
    <d v="2016-02-29T00:00:00"/>
    <x v="2"/>
    <x v="3"/>
    <x v="0"/>
    <n v="163079.378"/>
    <n v="160332.5894"/>
    <n v="4270"/>
    <n v="38.191891803278686"/>
    <x v="1"/>
    <n v="1.6843261445355771"/>
    <n v="37.548615784543323"/>
    <n v="1.6843261445355788"/>
  </r>
  <r>
    <d v="2016-03-01T00:00:00"/>
    <x v="3"/>
    <x v="3"/>
    <x v="1"/>
    <n v="180828.6741"/>
    <n v="182962.337"/>
    <n v="4719"/>
    <n v="38.319278258105534"/>
    <x v="1"/>
    <n v="-1.1799361526148555"/>
    <n v="38.771421275694003"/>
    <n v="-1.1799361526148493"/>
  </r>
  <r>
    <d v="2016-03-02T00:00:00"/>
    <x v="3"/>
    <x v="3"/>
    <x v="2"/>
    <n v="171196.1752"/>
    <n v="174428.68090000001"/>
    <n v="4451"/>
    <n v="38.462407369130531"/>
    <x v="1"/>
    <n v="-1.8881880370420849"/>
    <n v="39.18864994383285"/>
    <n v="-1.888188037042092"/>
  </r>
  <r>
    <d v="2016-03-03T00:00:00"/>
    <x v="3"/>
    <x v="3"/>
    <x v="3"/>
    <n v="129719.0505"/>
    <n v="131961.9325"/>
    <n v="3364"/>
    <n v="38.560954369797862"/>
    <x v="1"/>
    <n v="-1.7290305405064599"/>
    <n v="39.227685047562424"/>
    <n v="-1.7290305405064514"/>
  </r>
  <r>
    <d v="2016-03-04T00:00:00"/>
    <x v="3"/>
    <x v="3"/>
    <x v="4"/>
    <n v="142127.6421"/>
    <n v="144039.4137"/>
    <n v="3665"/>
    <n v="38.779711350613915"/>
    <x v="1"/>
    <n v="-1.3451089258589815"/>
    <n v="39.301340709413374"/>
    <n v="-1.345108925858987"/>
  </r>
  <r>
    <d v="2016-03-05T00:00:00"/>
    <x v="3"/>
    <x v="3"/>
    <x v="5"/>
    <n v="152124.40789999999"/>
    <n v="153377.51199999999"/>
    <n v="3889"/>
    <n v="39.116587271792234"/>
    <x v="1"/>
    <n v="-0.82373638609244959"/>
    <n v="39.438804834147589"/>
    <n v="-0.8237363860924366"/>
  </r>
  <r>
    <d v="2016-03-06T00:00:00"/>
    <x v="3"/>
    <x v="3"/>
    <x v="6"/>
    <n v="74132.787020000003"/>
    <n v="74332.279479999997"/>
    <n v="1882"/>
    <n v="39.390428809776836"/>
    <x v="1"/>
    <n v="-0.2691015244660554"/>
    <n v="39.496429054197662"/>
    <n v="-0.26910152446605745"/>
  </r>
  <r>
    <d v="2016-03-07T00:00:00"/>
    <x v="3"/>
    <x v="3"/>
    <x v="0"/>
    <n v="91143.028609999994"/>
    <n v="95167.528730000005"/>
    <n v="2405"/>
    <n v="37.897309193347191"/>
    <x v="1"/>
    <n v="-4.4155874358979252"/>
    <n v="39.570698016632022"/>
    <n v="-4.415587435897935"/>
  </r>
  <r>
    <d v="2016-03-08T00:00:00"/>
    <x v="3"/>
    <x v="3"/>
    <x v="1"/>
    <n v="60528.093359999999"/>
    <n v="62342.881170000001"/>
    <n v="1577"/>
    <n v="38.381796677235258"/>
    <x v="1"/>
    <n v="-2.998257022910463"/>
    <n v="39.532581591629679"/>
    <n v="-2.9982570229104644"/>
  </r>
  <r>
    <d v="2016-03-09T00:00:00"/>
    <x v="3"/>
    <x v="3"/>
    <x v="2"/>
    <n v="38340.599609999997"/>
    <n v="35918.335149999999"/>
    <n v="913"/>
    <n v="41.99408500547645"/>
    <x v="1"/>
    <n v="6.3177532032342638"/>
    <n v="39.341002354874043"/>
    <n v="6.3177532032342612"/>
  </r>
  <r>
    <d v="2016-03-10T00:00:00"/>
    <x v="3"/>
    <x v="3"/>
    <x v="3"/>
    <n v="37453.006179999997"/>
    <n v="35108.200109999998"/>
    <n v="892"/>
    <n v="41.987675089686093"/>
    <x v="1"/>
    <n v="6.2606618510962981"/>
    <n v="39.358968733183858"/>
    <n v="6.2606618510962848"/>
  </r>
  <r>
    <d v="2016-03-11T00:00:00"/>
    <x v="3"/>
    <x v="3"/>
    <x v="4"/>
    <n v="77997.045010000002"/>
    <n v="73051.675539999997"/>
    <n v="1855"/>
    <n v="42.046924533692724"/>
    <x v="1"/>
    <n v="6.3404574742106696"/>
    <n v="39.380957164420487"/>
    <n v="6.3404574742106643"/>
  </r>
  <r>
    <d v="2016-03-12T00:00:00"/>
    <x v="3"/>
    <x v="3"/>
    <x v="5"/>
    <n v="79752.282680000004"/>
    <n v="74962.816399999996"/>
    <n v="1897"/>
    <n v="42.041266568265684"/>
    <x v="1"/>
    <n v="6.0054284580384723"/>
    <n v="39.516508381655242"/>
    <n v="6.0054284580384714"/>
  </r>
  <r>
    <d v="2016-03-13T00:00:00"/>
    <x v="3"/>
    <x v="3"/>
    <x v="6"/>
    <n v="37155.588479999999"/>
    <n v="34962.830499999996"/>
    <n v="883"/>
    <n v="42.078809150622874"/>
    <x v="2"/>
    <n v="5.9015563195300036"/>
    <n v="39.595504530011318"/>
    <n v="5.901556319530008"/>
  </r>
  <r>
    <d v="2016-03-14T00:00:00"/>
    <x v="3"/>
    <x v="3"/>
    <x v="0"/>
    <n v="45046.513209999997"/>
    <n v="42368.04535"/>
    <n v="1071"/>
    <n v="42.060236423902893"/>
    <x v="2"/>
    <n v="5.9460048495060809"/>
    <n v="39.559332726423904"/>
    <n v="5.9460048495060818"/>
  </r>
  <r>
    <d v="2016-03-15T00:00:00"/>
    <x v="3"/>
    <x v="3"/>
    <x v="1"/>
    <n v="55489.332759999998"/>
    <n v="52263.056989999997"/>
    <n v="1320"/>
    <n v="42.0373733030303"/>
    <x v="1"/>
    <n v="5.8142270045922979"/>
    <n v="39.59322499242424"/>
    <n v="5.8142270045922961"/>
  </r>
  <r>
    <d v="2016-03-16T00:00:00"/>
    <x v="3"/>
    <x v="3"/>
    <x v="2"/>
    <n v="41893.303160000003"/>
    <n v="39495.455900000001"/>
    <n v="997"/>
    <n v="42.019361243731197"/>
    <x v="1"/>
    <n v="5.7237006374075614"/>
    <n v="39.614298796389171"/>
    <n v="5.7237006374075552"/>
  </r>
  <r>
    <d v="2016-03-17T00:00:00"/>
    <x v="3"/>
    <x v="3"/>
    <x v="3"/>
    <n v="34348.50419"/>
    <n v="32292.837599999999"/>
    <n v="817"/>
    <n v="42.042232790697675"/>
    <x v="1"/>
    <n v="5.9847339454114401"/>
    <n v="39.526117013463889"/>
    <n v="5.9847339454114472"/>
  </r>
  <r>
    <d v="2016-03-18T00:00:00"/>
    <x v="3"/>
    <x v="3"/>
    <x v="4"/>
    <n v="78276.831219999993"/>
    <n v="73746.758709999995"/>
    <n v="1866"/>
    <n v="41.948998510182207"/>
    <x v="1"/>
    <n v="5.7872456503356124"/>
    <n v="39.521306918542336"/>
    <n v="5.7872456503356124"/>
  </r>
  <r>
    <d v="2016-03-19T00:00:00"/>
    <x v="3"/>
    <x v="3"/>
    <x v="5"/>
    <n v="92851.402660000007"/>
    <n v="87451.566179999994"/>
    <n v="2211"/>
    <n v="41.995206992311175"/>
    <x v="1"/>
    <n v="5.815568020843954"/>
    <n v="39.552947164179102"/>
    <n v="5.8155680208439549"/>
  </r>
  <r>
    <d v="2016-03-20T00:00:00"/>
    <x v="3"/>
    <x v="3"/>
    <x v="6"/>
    <n v="54845.789299999997"/>
    <n v="51625.511720000002"/>
    <n v="1304"/>
    <n v="42.059654371165642"/>
    <x v="2"/>
    <n v="5.8715128747358447"/>
    <n v="39.590116349693254"/>
    <n v="5.8715128747358447"/>
  </r>
  <r>
    <d v="2016-03-21T00:00:00"/>
    <x v="3"/>
    <x v="3"/>
    <x v="0"/>
    <n v="48037.799899999998"/>
    <n v="45187.641580000003"/>
    <n v="1143"/>
    <n v="42.027821434820645"/>
    <x v="1"/>
    <n v="5.9331574841752799"/>
    <n v="39.534244601924762"/>
    <n v="5.9331574841752781"/>
  </r>
  <r>
    <d v="2016-03-22T00:00:00"/>
    <x v="3"/>
    <x v="3"/>
    <x v="1"/>
    <n v="65905.723259999999"/>
    <n v="62023.881300000001"/>
    <n v="1573"/>
    <n v="41.898107603305782"/>
    <x v="1"/>
    <n v="5.8899922009595711"/>
    <n v="39.430312333121428"/>
    <n v="5.8899922009595569"/>
  </r>
  <r>
    <d v="2016-03-23T00:00:00"/>
    <x v="3"/>
    <x v="3"/>
    <x v="2"/>
    <n v="84870.051300000006"/>
    <n v="81472.827179999993"/>
    <n v="2065"/>
    <n v="41.0992984503632"/>
    <x v="1"/>
    <n v="4.0028538547613834"/>
    <n v="39.454153598062952"/>
    <n v="4.0028538547613817"/>
  </r>
  <r>
    <d v="2016-03-24T00:00:00"/>
    <x v="3"/>
    <x v="3"/>
    <x v="3"/>
    <n v="262459.50569999998"/>
    <n v="259298.4566"/>
    <n v="6588"/>
    <n v="39.839026366120216"/>
    <x v="1"/>
    <n v="1.2043949757389087"/>
    <n v="39.359207134183364"/>
    <n v="1.204394975738909"/>
  </r>
  <r>
    <d v="2016-03-25T00:00:00"/>
    <x v="3"/>
    <x v="3"/>
    <x v="4"/>
    <n v="228124.39799999999"/>
    <n v="222208.3504"/>
    <n v="5652"/>
    <n v="40.361712314225052"/>
    <x v="1"/>
    <n v="2.5933427778294855"/>
    <n v="39.314994762915781"/>
    <n v="2.59334277782949"/>
  </r>
  <r>
    <d v="2016-03-26T00:00:00"/>
    <x v="3"/>
    <x v="3"/>
    <x v="5"/>
    <n v="162929.4921"/>
    <n v="161434.81510000001"/>
    <n v="4103"/>
    <n v="39.709844528393859"/>
    <x v="1"/>
    <n v="0.9173765785034298"/>
    <n v="39.345555715330249"/>
    <n v="0.91737657850342602"/>
  </r>
  <r>
    <d v="2016-03-27T00:00:00"/>
    <x v="3"/>
    <x v="3"/>
    <x v="6"/>
    <n v="58359.832179999998"/>
    <n v="57681.569880000003"/>
    <n v="1466"/>
    <n v="39.80888961800818"/>
    <x v="1"/>
    <n v="1.1622074201790396"/>
    <n v="39.346227748976808"/>
    <n v="1.1622074201790333"/>
  </r>
  <r>
    <d v="2016-03-28T00:00:00"/>
    <x v="3"/>
    <x v="3"/>
    <x v="0"/>
    <n v="85605.331919999997"/>
    <n v="85022.380919999996"/>
    <n v="2162"/>
    <n v="39.5954356706753"/>
    <x v="1"/>
    <n v="0.6809751062524716"/>
    <n v="39.325800610545791"/>
    <n v="0.68097510625246971"/>
  </r>
  <r>
    <d v="2016-03-29T00:00:00"/>
    <x v="3"/>
    <x v="3"/>
    <x v="1"/>
    <n v="84836.414340000003"/>
    <n v="84595.217929999999"/>
    <n v="2155"/>
    <n v="39.367245633410676"/>
    <x v="1"/>
    <n v="0.28430764298141847"/>
    <n v="39.255321545243618"/>
    <n v="0.28430764298142486"/>
  </r>
  <r>
    <d v="2016-03-30T00:00:00"/>
    <x v="3"/>
    <x v="3"/>
    <x v="2"/>
    <n v="64308.914219999999"/>
    <n v="68427.594670000006"/>
    <n v="1746"/>
    <n v="36.832138728522338"/>
    <x v="1"/>
    <n v="-6.4045249402128803"/>
    <n v="39.191062239404353"/>
    <n v="-6.4045249402128652"/>
  </r>
  <r>
    <d v="2016-03-31T00:00:00"/>
    <x v="3"/>
    <x v="3"/>
    <x v="3"/>
    <n v="131168.48550000001"/>
    <n v="138589.10010000001"/>
    <n v="3554"/>
    <n v="36.907283483398992"/>
    <x v="1"/>
    <n v="-5.6573151483097668"/>
    <n v="38.995244822734946"/>
    <n v="-5.6573151483097535"/>
  </r>
  <r>
    <d v="2016-04-01T00:00:00"/>
    <x v="4"/>
    <x v="3"/>
    <x v="4"/>
    <n v="232410.198"/>
    <n v="245358.63"/>
    <n v="6282"/>
    <n v="36.996211079274119"/>
    <x v="1"/>
    <n v="-5.5713699792123581"/>
    <n v="39.057406876790829"/>
    <n v="-5.5713699792123466"/>
  </r>
  <r>
    <d v="2016-04-02T00:00:00"/>
    <x v="4"/>
    <x v="3"/>
    <x v="5"/>
    <n v="195831.0975"/>
    <n v="205442.82810000001"/>
    <n v="5259"/>
    <n v="37.237326012549914"/>
    <x v="1"/>
    <n v="-4.9081737899160833"/>
    <n v="39.064998687963495"/>
    <n v="-4.9081737899160895"/>
  </r>
  <r>
    <d v="2016-04-03T00:00:00"/>
    <x v="4"/>
    <x v="3"/>
    <x v="6"/>
    <n v="90716.547890000002"/>
    <n v="95543.133650000003"/>
    <n v="2446"/>
    <n v="37.087713773507765"/>
    <x v="1"/>
    <n v="-5.3205130400823517"/>
    <n v="39.060970421095668"/>
    <n v="-5.3205130400823606"/>
  </r>
  <r>
    <d v="2016-04-04T00:00:00"/>
    <x v="4"/>
    <x v="3"/>
    <x v="0"/>
    <n v="131638.0196"/>
    <n v="130700.18889999999"/>
    <n v="3345"/>
    <n v="39.35366804185351"/>
    <x v="1"/>
    <n v="0.71243148662501299"/>
    <n v="39.073300119581461"/>
    <n v="0.71243148662501143"/>
  </r>
  <r>
    <d v="2016-04-05T00:00:00"/>
    <x v="4"/>
    <x v="3"/>
    <x v="1"/>
    <n v="81910.872619999995"/>
    <n v="79969.510550000006"/>
    <n v="2048"/>
    <n v="39.995543271484372"/>
    <x v="1"/>
    <n v="2.370090816888661"/>
    <n v="39.047612573242191"/>
    <n v="2.370090816888661"/>
  </r>
  <r>
    <d v="2016-04-06T00:00:00"/>
    <x v="4"/>
    <x v="3"/>
    <x v="2"/>
    <n v="54821.908510000001"/>
    <n v="50800.00851"/>
    <n v="1303"/>
    <n v="42.073605917114349"/>
    <x v="2"/>
    <n v="7.3363005946178825"/>
    <n v="38.986959716039905"/>
    <n v="7.3363005946178808"/>
  </r>
  <r>
    <d v="2016-04-07T00:00:00"/>
    <x v="4"/>
    <x v="3"/>
    <x v="3"/>
    <n v="155615.41940000001"/>
    <n v="171592.12590000001"/>
    <n v="4413"/>
    <n v="35.262954769997734"/>
    <x v="1"/>
    <n v="-10.266788832109782"/>
    <n v="38.883327872195785"/>
    <n v="-10.266788832109784"/>
  </r>
  <r>
    <d v="2016-04-08T00:00:00"/>
    <x v="4"/>
    <x v="3"/>
    <x v="4"/>
    <n v="264086.89380000002"/>
    <n v="291378.57980000001"/>
    <n v="7494"/>
    <n v="35.239777662129704"/>
    <x v="1"/>
    <n v="-10.334358364890575"/>
    <n v="38.881582572724845"/>
    <n v="-10.334358364890575"/>
  </r>
  <r>
    <d v="2016-04-09T00:00:00"/>
    <x v="4"/>
    <x v="3"/>
    <x v="5"/>
    <n v="272761.29749999999"/>
    <n v="298164.41609999997"/>
    <n v="7738"/>
    <n v="35.249586133367792"/>
    <x v="1"/>
    <n v="-9.3133149141145974"/>
    <n v="38.532491095890407"/>
    <n v="-9.313314914114601"/>
  </r>
  <r>
    <d v="2016-04-10T00:00:00"/>
    <x v="4"/>
    <x v="3"/>
    <x v="6"/>
    <n v="104689.4279"/>
    <n v="113609.3043"/>
    <n v="2958"/>
    <n v="35.391963455037185"/>
    <x v="1"/>
    <n v="-8.5203220410377352"/>
    <n v="38.407472718052738"/>
    <n v="-8.5203220410377316"/>
  </r>
  <r>
    <d v="2016-04-11T00:00:00"/>
    <x v="4"/>
    <x v="3"/>
    <x v="0"/>
    <n v="131170.5969"/>
    <n v="142022.8126"/>
    <n v="3713"/>
    <n v="35.327389415566927"/>
    <x v="1"/>
    <n v="-8.2733600032889694"/>
    <n v="38.250151521680586"/>
    <n v="-8.27336000328898"/>
  </r>
  <r>
    <d v="2016-04-12T00:00:00"/>
    <x v="4"/>
    <x v="3"/>
    <x v="1"/>
    <n v="123179.48940000001"/>
    <n v="132714.9602"/>
    <n v="3504"/>
    <n v="35.153963869863013"/>
    <x v="1"/>
    <n v="-7.7411189528765769"/>
    <n v="37.875274029680362"/>
    <n v="-7.741118952876576"/>
  </r>
  <r>
    <d v="2016-04-13T00:00:00"/>
    <x v="4"/>
    <x v="3"/>
    <x v="2"/>
    <n v="124431.04640000001"/>
    <n v="132889.0569"/>
    <n v="3534"/>
    <n v="35.209690548953027"/>
    <x v="1"/>
    <n v="-6.7973474021994464"/>
    <n v="37.603015534804754"/>
    <n v="-6.7973474021994589"/>
  </r>
  <r>
    <d v="2016-04-14T00:00:00"/>
    <x v="4"/>
    <x v="3"/>
    <x v="3"/>
    <n v="162166.83600000001"/>
    <n v="172225.65270000001"/>
    <n v="4601"/>
    <n v="35.245997826559446"/>
    <x v="1"/>
    <n v="-6.2027581891034709"/>
    <n v="37.432221843077592"/>
    <n v="-6.2027581891034673"/>
  </r>
  <r>
    <d v="2016-04-15T00:00:00"/>
    <x v="4"/>
    <x v="3"/>
    <x v="4"/>
    <n v="354042.0232"/>
    <n v="373200.30599999998"/>
    <n v="10045"/>
    <n v="35.245597132901942"/>
    <x v="1"/>
    <n v="-5.4113019202744139"/>
    <n v="37.152842807366845"/>
    <n v="-5.4113019202744042"/>
  </r>
  <r>
    <d v="2016-04-16T00:00:00"/>
    <x v="4"/>
    <x v="3"/>
    <x v="5"/>
    <n v="327352.26140000002"/>
    <n v="345338.62809999997"/>
    <n v="9301"/>
    <n v="35.195383442640576"/>
    <x v="1"/>
    <n v="-5.4944989911103619"/>
    <n v="37.129193430813885"/>
    <n v="-5.4944989911103592"/>
  </r>
  <r>
    <d v="2016-04-17T00:00:00"/>
    <x v="4"/>
    <x v="3"/>
    <x v="6"/>
    <n v="164809.30300000001"/>
    <n v="175167.42879999999"/>
    <n v="4678"/>
    <n v="35.230718896964518"/>
    <x v="1"/>
    <n v="-6.2849157246906016"/>
    <n v="37.444939888841382"/>
    <n v="-6.2849157246905953"/>
  </r>
  <r>
    <d v="2016-04-18T00:00:00"/>
    <x v="4"/>
    <x v="3"/>
    <x v="0"/>
    <n v="151157.79430000001"/>
    <n v="159828.76500000001"/>
    <n v="4294"/>
    <n v="35.202094620400558"/>
    <x v="1"/>
    <n v="-5.7363702216975287"/>
    <n v="37.221417093619003"/>
    <n v="-5.736370221697527"/>
  </r>
  <r>
    <d v="2016-04-19T00:00:00"/>
    <x v="4"/>
    <x v="3"/>
    <x v="1"/>
    <n v="126895.9365"/>
    <n v="133726.2806"/>
    <n v="3606"/>
    <n v="35.19022088186356"/>
    <x v="1"/>
    <n v="-5.3826342185511997"/>
    <n v="37.084381752634499"/>
    <n v="-5.3826342185512033"/>
  </r>
  <r>
    <d v="2016-04-20T00:00:00"/>
    <x v="4"/>
    <x v="3"/>
    <x v="2"/>
    <n v="166395.44579999999"/>
    <n v="179020.54250000001"/>
    <n v="4838"/>
    <n v="34.393436502687059"/>
    <x v="0"/>
    <n v="-7.5874051956775519"/>
    <n v="37.003005890863996"/>
    <n v="-7.5874051956775475"/>
  </r>
  <r>
    <d v="2016-04-21T00:00:00"/>
    <x v="4"/>
    <x v="3"/>
    <x v="3"/>
    <n v="167796.3548"/>
    <n v="182485.09890000001"/>
    <n v="4914"/>
    <n v="34.146592348392346"/>
    <x v="0"/>
    <n v="-8.7539113215587037"/>
    <n v="37.135754761904764"/>
    <n v="-8.753911321558709"/>
  </r>
  <r>
    <d v="2016-04-22T00:00:00"/>
    <x v="4"/>
    <x v="3"/>
    <x v="4"/>
    <n v="351146.01699999999"/>
    <n v="380098.15639999998"/>
    <n v="10269"/>
    <n v="34.194762586425163"/>
    <x v="0"/>
    <n v="-8.2450428022368776"/>
    <n v="37.014135397799201"/>
    <n v="-8.2450428022368811"/>
  </r>
  <r>
    <d v="2016-04-23T00:00:00"/>
    <x v="4"/>
    <x v="3"/>
    <x v="5"/>
    <n v="420738.82179999998"/>
    <n v="455415.3493"/>
    <n v="12317"/>
    <n v="34.159196378988391"/>
    <x v="0"/>
    <n v="-8.2418178934968029"/>
    <n v="36.974535138426567"/>
    <n v="-8.2418178934968029"/>
  </r>
  <r>
    <d v="2016-04-24T00:00:00"/>
    <x v="4"/>
    <x v="3"/>
    <x v="6"/>
    <n v="186166.1508"/>
    <n v="202391.17869999999"/>
    <n v="5453"/>
    <n v="34.140134017971761"/>
    <x v="0"/>
    <n v="-8.7153479997718186"/>
    <n v="37.115565505226478"/>
    <n v="-8.7153479997718097"/>
  </r>
  <r>
    <d v="2016-04-25T00:00:00"/>
    <x v="4"/>
    <x v="3"/>
    <x v="0"/>
    <n v="251449.52960000001"/>
    <n v="273255.09850000002"/>
    <n v="7372"/>
    <n v="34.108726207270756"/>
    <x v="0"/>
    <n v="-8.6719465869305061"/>
    <n v="37.066616725447645"/>
    <n v="-8.6719465869305115"/>
  </r>
  <r>
    <d v="2016-04-26T00:00:00"/>
    <x v="4"/>
    <x v="3"/>
    <x v="1"/>
    <n v="280321.81069999997"/>
    <n v="302469.83199999999"/>
    <n v="8211"/>
    <n v="34.139789392278644"/>
    <x v="0"/>
    <n v="-7.900926882818549"/>
    <n v="36.837149190110829"/>
    <n v="-7.9009268828185668"/>
  </r>
  <r>
    <d v="2016-04-27T00:00:00"/>
    <x v="4"/>
    <x v="3"/>
    <x v="2"/>
    <n v="313434.93329999998"/>
    <n v="337931.11700000003"/>
    <n v="9182"/>
    <n v="34.135801927684597"/>
    <x v="0"/>
    <n v="-7.8153967849377741"/>
    <n v="36.803650294053583"/>
    <n v="-7.815396784937767"/>
  </r>
  <r>
    <d v="2016-04-28T00:00:00"/>
    <x v="4"/>
    <x v="3"/>
    <x v="3"/>
    <n v="257324.60310000001"/>
    <n v="276852.17989999999"/>
    <n v="7520"/>
    <n v="34.21869722074468"/>
    <x v="0"/>
    <n v="-7.5886940326538799"/>
    <n v="36.815449454787235"/>
    <n v="-7.5886940326538923"/>
  </r>
  <r>
    <d v="2016-04-29T00:00:00"/>
    <x v="4"/>
    <x v="3"/>
    <x v="4"/>
    <n v="455554.33600000001"/>
    <n v="489215.0675"/>
    <n v="13321"/>
    <n v="34.198208542902186"/>
    <x v="0"/>
    <n v="-7.3889608417644377"/>
    <n v="36.725100780722165"/>
    <n v="-7.3889608417644244"/>
  </r>
  <r>
    <d v="2016-04-30T00:00:00"/>
    <x v="4"/>
    <x v="3"/>
    <x v="5"/>
    <n v="556865.20330000005"/>
    <n v="598925.6679"/>
    <n v="16276"/>
    <n v="34.213885678299341"/>
    <x v="0"/>
    <n v="-7.5530782585710803"/>
    <n v="36.798087238879333"/>
    <n v="-7.5530782585710794"/>
  </r>
  <r>
    <d v="2016-05-01T00:00:00"/>
    <x v="5"/>
    <x v="3"/>
    <x v="6"/>
    <n v="354856.04489999998"/>
    <n v="380511.15919999999"/>
    <n v="10388"/>
    <n v="34.160189150943395"/>
    <x v="0"/>
    <n v="-7.2297244667847611"/>
    <n v="36.629876703889103"/>
    <n v="-7.2297244667847593"/>
  </r>
  <r>
    <d v="2016-05-02T00:00:00"/>
    <x v="5"/>
    <x v="3"/>
    <x v="0"/>
    <n v="283284.58130000002"/>
    <n v="304997.8518"/>
    <n v="8298"/>
    <n v="34.138898686430466"/>
    <x v="0"/>
    <n v="-7.6648260912603305"/>
    <n v="36.755585900216921"/>
    <n v="-7.6648260912603403"/>
  </r>
  <r>
    <d v="2016-05-03T00:00:00"/>
    <x v="5"/>
    <x v="3"/>
    <x v="1"/>
    <n v="297500.674"/>
    <n v="319786.35950000002"/>
    <n v="8717"/>
    <n v="34.128791327291502"/>
    <x v="0"/>
    <n v="-7.4909697515508897"/>
    <n v="36.68536876218883"/>
    <n v="-7.4909697515508844"/>
  </r>
  <r>
    <d v="2016-05-04T00:00:00"/>
    <x v="5"/>
    <x v="3"/>
    <x v="2"/>
    <n v="285968.4878"/>
    <n v="305506.99819999997"/>
    <n v="8364"/>
    <n v="34.190397871831657"/>
    <x v="0"/>
    <n v="-6.832399804017836"/>
    <n v="36.526422549019607"/>
    <n v="-6.832399804017852"/>
  </r>
  <r>
    <d v="2016-05-05T00:00:00"/>
    <x v="5"/>
    <x v="3"/>
    <x v="3"/>
    <n v="237946.63269999999"/>
    <n v="254527.4155"/>
    <n v="6968"/>
    <n v="34.148483452927671"/>
    <x v="0"/>
    <n v="-6.9682779755512874"/>
    <n v="36.528044704362799"/>
    <n v="-6.9682779755512669"/>
  </r>
  <r>
    <d v="2016-05-06T00:00:00"/>
    <x v="5"/>
    <x v="3"/>
    <x v="4"/>
    <n v="340851.50589999999"/>
    <n v="364361.03289999999"/>
    <n v="9973"/>
    <n v="34.177429650055146"/>
    <x v="0"/>
    <n v="-6.8972929833254994"/>
    <n v="36.534747107189411"/>
    <n v="-6.8972929833255066"/>
  </r>
  <r>
    <d v="2016-05-07T00:00:00"/>
    <x v="5"/>
    <x v="3"/>
    <x v="5"/>
    <n v="388187.60139999999"/>
    <n v="414644.62349999999"/>
    <n v="11363"/>
    <n v="34.162422018833055"/>
    <x v="0"/>
    <n v="-6.8155247629194378"/>
    <n v="36.490770351139666"/>
    <n v="-6.8155247629194422"/>
  </r>
  <r>
    <d v="2016-05-08T00:00:00"/>
    <x v="5"/>
    <x v="3"/>
    <x v="6"/>
    <n v="139178.9841"/>
    <n v="148731.09049999999"/>
    <n v="4074"/>
    <n v="34.162735419734908"/>
    <x v="0"/>
    <n v="-6.8631815800126894"/>
    <n v="36.507385984290622"/>
    <n v="-6.8631815800126814"/>
  </r>
  <r>
    <d v="2016-05-09T00:00:00"/>
    <x v="5"/>
    <x v="3"/>
    <x v="0"/>
    <n v="66400.303050000002"/>
    <n v="57741.73891"/>
    <n v="1579"/>
    <n v="42.052123527549085"/>
    <x v="1"/>
    <n v="13.039946720544377"/>
    <n v="36.568549024699173"/>
    <n v="13.039946720544387"/>
  </r>
  <r>
    <d v="2016-05-10T00:00:00"/>
    <x v="5"/>
    <x v="3"/>
    <x v="1"/>
    <n v="42723.524460000001"/>
    <n v="37112.985059999999"/>
    <n v="1016"/>
    <n v="42.050713051181106"/>
    <x v="1"/>
    <n v="13.132201687276249"/>
    <n v="36.528528602362201"/>
    <n v="13.132201687276263"/>
  </r>
  <r>
    <d v="2016-05-11T00:00:00"/>
    <x v="5"/>
    <x v="3"/>
    <x v="2"/>
    <n v="35014.39948"/>
    <n v="30393.740119999999"/>
    <n v="832"/>
    <n v="42.084614759615384"/>
    <x v="2"/>
    <n v="13.19645468327764"/>
    <n v="36.530937644230768"/>
    <n v="13.196454683277636"/>
  </r>
  <r>
    <d v="2016-05-12T00:00:00"/>
    <x v="5"/>
    <x v="3"/>
    <x v="3"/>
    <n v="27210.406630000001"/>
    <n v="23570.159159999999"/>
    <n v="647"/>
    <n v="42.056269907264301"/>
    <x v="1"/>
    <n v="13.378144323600658"/>
    <n v="36.429921421947448"/>
    <n v="13.378144323600663"/>
  </r>
  <r>
    <d v="2016-05-13T00:00:00"/>
    <x v="5"/>
    <x v="3"/>
    <x v="4"/>
    <n v="79840.088250000001"/>
    <n v="69078.714139999996"/>
    <n v="1898"/>
    <n v="42.065378424657531"/>
    <x v="2"/>
    <n v="13.478660089031159"/>
    <n v="36.395529051633297"/>
    <n v="13.47866008903115"/>
  </r>
  <r>
    <d v="2016-05-14T00:00:00"/>
    <x v="5"/>
    <x v="3"/>
    <x v="5"/>
    <n v="82484.44829"/>
    <n v="71426.011639999997"/>
    <n v="1961"/>
    <n v="42.062441759306473"/>
    <x v="2"/>
    <n v="13.406692872722617"/>
    <n v="36.423259377868433"/>
    <n v="13.406692872722612"/>
  </r>
  <r>
    <d v="2016-05-15T00:00:00"/>
    <x v="5"/>
    <x v="3"/>
    <x v="6"/>
    <n v="51497.23734"/>
    <n v="44611.939680000003"/>
    <n v="1224"/>
    <n v="42.072906323529409"/>
    <x v="2"/>
    <n v="13.370227250330387"/>
    <n v="36.447663137254906"/>
    <n v="13.37022725033038"/>
  </r>
  <r>
    <d v="2016-05-16T00:00:00"/>
    <x v="5"/>
    <x v="3"/>
    <x v="0"/>
    <n v="42871.832869999998"/>
    <n v="37139.308259999998"/>
    <n v="1019"/>
    <n v="42.072456202158975"/>
    <x v="2"/>
    <n v="13.371307514149674"/>
    <n v="36.446818704612362"/>
    <n v="13.371307514149672"/>
  </r>
  <r>
    <d v="2016-05-17T00:00:00"/>
    <x v="5"/>
    <x v="3"/>
    <x v="1"/>
    <n v="39104.6391"/>
    <n v="33890.360430000001"/>
    <n v="930"/>
    <n v="42.047999032258062"/>
    <x v="1"/>
    <n v="13.334169014233401"/>
    <n v="36.441247774193549"/>
    <n v="13.334169014233396"/>
  </r>
  <r>
    <d v="2016-05-18T00:00:00"/>
    <x v="5"/>
    <x v="3"/>
    <x v="2"/>
    <n v="34406.750010000003"/>
    <n v="29884.330590000001"/>
    <n v="818"/>
    <n v="42.062041577017119"/>
    <x v="2"/>
    <n v="13.143988951835331"/>
    <n v="36.533411479217605"/>
    <n v="13.143988951835331"/>
  </r>
  <r>
    <d v="2016-05-19T00:00:00"/>
    <x v="5"/>
    <x v="3"/>
    <x v="3"/>
    <n v="39403.658560000003"/>
    <n v="34229.63192"/>
    <n v="937"/>
    <n v="42.052997395944509"/>
    <x v="1"/>
    <n v="13.130828022279978"/>
    <n v="36.531090629669158"/>
    <n v="13.130828022279974"/>
  </r>
  <r>
    <d v="2016-05-20T00:00:00"/>
    <x v="5"/>
    <x v="3"/>
    <x v="4"/>
    <n v="96830.902419999999"/>
    <n v="83926.003500000006"/>
    <n v="2302"/>
    <n v="42.063815125977413"/>
    <x v="2"/>
    <n v="13.32725255830575"/>
    <n v="36.457864248479588"/>
    <n v="13.32725255830575"/>
  </r>
  <r>
    <d v="2016-05-21T00:00:00"/>
    <x v="5"/>
    <x v="3"/>
    <x v="5"/>
    <n v="99380.3946"/>
    <n v="86179.513389999993"/>
    <n v="2363"/>
    <n v="42.056874566229368"/>
    <x v="1"/>
    <n v="13.283184538693718"/>
    <n v="36.470382306390178"/>
    <n v="13.283184538693718"/>
  </r>
  <r>
    <d v="2016-05-22T00:00:00"/>
    <x v="5"/>
    <x v="3"/>
    <x v="6"/>
    <n v="61656.181329999999"/>
    <n v="53463.734559999997"/>
    <n v="1466"/>
    <n v="42.057422462482947"/>
    <x v="1"/>
    <n v="13.287308090249518"/>
    <n v="36.469123165075032"/>
    <n v="13.287308090249518"/>
  </r>
  <r>
    <d v="2016-05-23T00:00:00"/>
    <x v="5"/>
    <x v="3"/>
    <x v="0"/>
    <n v="69163.557369999995"/>
    <n v="59948.438710000002"/>
    <n v="1644"/>
    <n v="42.070290371046227"/>
    <x v="2"/>
    <n v="13.323662070622602"/>
    <n v="36.464987049878346"/>
    <n v="13.323662070622607"/>
  </r>
  <r>
    <d v="2016-05-24T00:00:00"/>
    <x v="5"/>
    <x v="3"/>
    <x v="1"/>
    <n v="113112.86500000001"/>
    <n v="117414.6989"/>
    <n v="3224"/>
    <n v="35.084635545905712"/>
    <x v="0"/>
    <n v="-3.8031340643701297"/>
    <n v="36.41895127171216"/>
    <n v="-3.8031340643701208"/>
  </r>
  <r>
    <d v="2016-05-25T00:00:00"/>
    <x v="5"/>
    <x v="3"/>
    <x v="2"/>
    <n v="253686.30249999999"/>
    <n v="268974.57069999998"/>
    <n v="7392"/>
    <n v="34.319034429112556"/>
    <x v="0"/>
    <n v="-6.0264460671856703"/>
    <n v="36.387252529761902"/>
    <n v="-6.0264460671856614"/>
  </r>
  <r>
    <d v="2016-05-26T00:00:00"/>
    <x v="5"/>
    <x v="3"/>
    <x v="3"/>
    <n v="210305.29190000001"/>
    <n v="223289.0846"/>
    <n v="6138"/>
    <n v="34.262836738351254"/>
    <x v="0"/>
    <n v="-6.1737831619442911"/>
    <n v="36.378149983708049"/>
    <n v="-6.1737831619442991"/>
  </r>
  <r>
    <d v="2016-05-27T00:00:00"/>
    <x v="5"/>
    <x v="3"/>
    <x v="4"/>
    <n v="364087.42430000001"/>
    <n v="386499.89640000003"/>
    <n v="10624"/>
    <n v="34.270277136671687"/>
    <x v="0"/>
    <n v="-6.1557940769557122"/>
    <n v="36.379884826807235"/>
    <n v="-6.1557940769557238"/>
  </r>
  <r>
    <d v="2016-05-28T00:00:00"/>
    <x v="5"/>
    <x v="3"/>
    <x v="5"/>
    <n v="397480.36949999997"/>
    <n v="421674.10190000001"/>
    <n v="11590"/>
    <n v="34.29511384814495"/>
    <x v="0"/>
    <n v="-6.0867741545158349"/>
    <n v="36.382579974115615"/>
    <n v="-6.0867741545158243"/>
  </r>
  <r>
    <d v="2016-05-29T00:00:00"/>
    <x v="5"/>
    <x v="3"/>
    <x v="6"/>
    <n v="204028.17679999999"/>
    <n v="216777.31570000001"/>
    <n v="5959"/>
    <n v="34.238660312132907"/>
    <x v="0"/>
    <n v="-6.2487148098654286"/>
    <n v="36.378136549756668"/>
    <n v="-6.2487148098654144"/>
  </r>
  <r>
    <d v="2016-05-30T00:00:00"/>
    <x v="5"/>
    <x v="3"/>
    <x v="0"/>
    <n v="172797.9351"/>
    <n v="183715.80720000001"/>
    <n v="5048"/>
    <n v="34.230969710776549"/>
    <x v="0"/>
    <n v="-6.3182885221873279"/>
    <n v="36.393781141045963"/>
    <n v="-6.3182885221873253"/>
  </r>
  <r>
    <d v="2016-05-31T00:00:00"/>
    <x v="5"/>
    <x v="3"/>
    <x v="1"/>
    <n v="258970.65410000001"/>
    <n v="274386.01539999997"/>
    <n v="7542"/>
    <n v="34.337132604083799"/>
    <x v="0"/>
    <n v="-5.9525514014601084"/>
    <n v="36.381068072129402"/>
    <n v="-5.9525514014601013"/>
  </r>
  <r>
    <d v="2016-06-01T00:00:00"/>
    <x v="6"/>
    <x v="3"/>
    <x v="2"/>
    <n v="368789.57260000001"/>
    <n v="391923.65960000001"/>
    <n v="10761"/>
    <n v="34.27093881609516"/>
    <x v="0"/>
    <n v="-6.2729775239854488"/>
    <n v="36.420747105287617"/>
    <n v="-6.2729775239854568"/>
  </r>
  <r>
    <d v="2016-06-02T00:00:00"/>
    <x v="6"/>
    <x v="3"/>
    <x v="3"/>
    <n v="278071.38660000003"/>
    <n v="295548.24160000001"/>
    <n v="8120"/>
    <n v="34.245244655172414"/>
    <x v="0"/>
    <n v="-6.2850245808066818"/>
    <n v="36.397566699507394"/>
    <n v="-6.2850245808067031"/>
  </r>
  <r>
    <d v="2016-06-03T00:00:00"/>
    <x v="6"/>
    <x v="3"/>
    <x v="4"/>
    <n v="373959.36200000002"/>
    <n v="396324.17869999999"/>
    <n v="10896"/>
    <n v="34.32079313509545"/>
    <x v="0"/>
    <n v="-5.9805473462113685"/>
    <n v="36.373364418135097"/>
    <n v="-5.9805473462113765"/>
  </r>
  <r>
    <d v="2016-06-04T00:00:00"/>
    <x v="6"/>
    <x v="3"/>
    <x v="5"/>
    <n v="402057.25290000002"/>
    <n v="426466.13219999999"/>
    <n v="11726"/>
    <n v="34.28767294047416"/>
    <x v="0"/>
    <n v="-6.0709958902472447"/>
    <n v="36.369276155551766"/>
    <n v="-6.0709958902472563"/>
  </r>
  <r>
    <d v="2016-06-05T00:00:00"/>
    <x v="6"/>
    <x v="3"/>
    <x v="6"/>
    <n v="205719.45319999999"/>
    <n v="218408.18210000001"/>
    <n v="6007"/>
    <n v="34.246621142000997"/>
    <x v="0"/>
    <n v="-6.1679771662935847"/>
    <n v="36.358944914266687"/>
    <n v="-6.1679771662935758"/>
  </r>
  <r>
    <d v="2016-06-06T00:00:00"/>
    <x v="6"/>
    <x v="3"/>
    <x v="0"/>
    <n v="177626.95009999999"/>
    <n v="188629.7542"/>
    <n v="5185"/>
    <n v="34.257849585342328"/>
    <x v="0"/>
    <n v="-6.1943326132693697"/>
    <n v="36.379894734811955"/>
    <n v="-6.1943326132693768"/>
  </r>
  <r>
    <d v="2016-06-07T00:00:00"/>
    <x v="6"/>
    <x v="3"/>
    <x v="1"/>
    <n v="70441.90741"/>
    <n v="60910.748399999997"/>
    <n v="1675"/>
    <n v="42.054870095522389"/>
    <x v="1"/>
    <n v="13.530523747071266"/>
    <n v="36.364625910447756"/>
    <n v="13.530523747071275"/>
  </r>
  <r>
    <d v="2016-06-08T00:00:00"/>
    <x v="6"/>
    <x v="3"/>
    <x v="2"/>
    <n v="162923.84959999999"/>
    <n v="173292.68109999999"/>
    <n v="4765"/>
    <n v="34.191783756558237"/>
    <x v="0"/>
    <n v="-6.3642195574539135"/>
    <n v="36.367823945435461"/>
    <n v="-6.3642195574538958"/>
  </r>
  <r>
    <d v="2016-06-09T00:00:00"/>
    <x v="6"/>
    <x v="3"/>
    <x v="3"/>
    <n v="138752.5276"/>
    <n v="143791.47810000001"/>
    <n v="3953"/>
    <n v="35.100563521376174"/>
    <x v="0"/>
    <n v="-3.6316098792278915"/>
    <n v="36.375279053883126"/>
    <n v="-3.6316098792278746"/>
  </r>
  <r>
    <d v="2016-06-10T00:00:00"/>
    <x v="6"/>
    <x v="3"/>
    <x v="4"/>
    <n v="252458.2622"/>
    <n v="261502.3818"/>
    <n v="7190"/>
    <n v="35.112414770514604"/>
    <x v="0"/>
    <n v="-3.5824217124790163"/>
    <n v="36.370289541029209"/>
    <n v="-3.5824217124790163"/>
  </r>
  <r>
    <d v="2016-06-11T00:00:00"/>
    <x v="6"/>
    <x v="3"/>
    <x v="5"/>
    <n v="293917.85249999998"/>
    <n v="311853.52049999998"/>
    <n v="8577"/>
    <n v="34.268141832808674"/>
    <x v="0"/>
    <n v="-6.10227240279663"/>
    <n v="36.359277194823363"/>
    <n v="-6.1022724027966264"/>
  </r>
  <r>
    <d v="2016-06-12T00:00:00"/>
    <x v="6"/>
    <x v="3"/>
    <x v="6"/>
    <n v="138350.12179999999"/>
    <n v="143346.6746"/>
    <n v="3943"/>
    <n v="35.087527720010144"/>
    <x v="0"/>
    <n v="-3.6115275758289975"/>
    <n v="36.354723459294952"/>
    <n v="-3.611527575828994"/>
  </r>
  <r>
    <d v="2016-06-13T00:00:00"/>
    <x v="6"/>
    <x v="3"/>
    <x v="0"/>
    <n v="130067.27559999999"/>
    <n v="134950.56649999999"/>
    <n v="3707"/>
    <n v="35.086937038036147"/>
    <x v="0"/>
    <n v="-3.7544346781105276"/>
    <n v="36.404253169678981"/>
    <n v="-3.7544346781105209"/>
  </r>
  <r>
    <d v="2016-06-14T00:00:00"/>
    <x v="6"/>
    <x v="3"/>
    <x v="1"/>
    <n v="107168.6611"/>
    <n v="111173.15850000001"/>
    <n v="3054"/>
    <n v="35.091244629993447"/>
    <x v="0"/>
    <n v="-3.7366309879185455"/>
    <n v="36.402474950884091"/>
    <n v="-3.7366309879185633"/>
  </r>
  <r>
    <d v="2016-06-15T00:00:00"/>
    <x v="6"/>
    <x v="3"/>
    <x v="2"/>
    <n v="224030.55439999999"/>
    <n v="237934.73420000001"/>
    <n v="6541"/>
    <n v="34.250199419049075"/>
    <x v="0"/>
    <n v="-6.2063765530725359"/>
    <n v="36.375895765173524"/>
    <n v="-6.2063765530725412"/>
  </r>
  <r>
    <d v="2016-06-16T00:00:00"/>
    <x v="6"/>
    <x v="3"/>
    <x v="3"/>
    <n v="201918.22210000001"/>
    <n v="209095.56969999999"/>
    <n v="5749"/>
    <n v="35.122320768829361"/>
    <x v="0"/>
    <n v="-3.5545814168497372"/>
    <n v="36.370772256044525"/>
    <n v="-3.5545814168497349"/>
  </r>
  <r>
    <d v="2016-06-17T00:00:00"/>
    <x v="6"/>
    <x v="3"/>
    <x v="4"/>
    <n v="329344.2683"/>
    <n v="341253.3296"/>
    <n v="9385"/>
    <n v="35.0926231539691"/>
    <x v="0"/>
    <n v="-3.6159916677681565"/>
    <n v="36.361569483217899"/>
    <n v="-3.6159916677681481"/>
  </r>
  <r>
    <d v="2016-06-18T00:00:00"/>
    <x v="6"/>
    <x v="3"/>
    <x v="5"/>
    <n v="308642.97720000002"/>
    <n v="327672.04149999999"/>
    <n v="9012"/>
    <n v="34.248000133155792"/>
    <x v="0"/>
    <n v="-6.1653968195327424"/>
    <n v="36.359525244118949"/>
    <n v="-6.1653968195327442"/>
  </r>
  <r>
    <d v="2016-06-19T00:00:00"/>
    <x v="6"/>
    <x v="3"/>
    <x v="6"/>
    <n v="134472.40659999999"/>
    <n v="139385.8762"/>
    <n v="3831"/>
    <n v="35.101124145131813"/>
    <x v="0"/>
    <n v="-3.6538868636563921"/>
    <n v="36.383679509266507"/>
    <n v="-3.6538868636563948"/>
  </r>
  <r>
    <d v="2016-06-20T00:00:00"/>
    <x v="6"/>
    <x v="3"/>
    <x v="0"/>
    <n v="143809.7206"/>
    <n v="148953.91089999999"/>
    <n v="4097"/>
    <n v="35.10122543324384"/>
    <x v="0"/>
    <n v="-3.5770810752830209"/>
    <n v="36.356824725408835"/>
    <n v="-3.5770810752830164"/>
  </r>
  <r>
    <d v="2016-06-21T00:00:00"/>
    <x v="6"/>
    <x v="3"/>
    <x v="1"/>
    <n v="123252.1511"/>
    <n v="127533.00930000001"/>
    <n v="3509"/>
    <n v="35.124579965802226"/>
    <x v="0"/>
    <n v="-3.4732523220034914"/>
    <n v="36.344545255058421"/>
    <n v="-3.4732523220034786"/>
  </r>
  <r>
    <d v="2016-06-22T00:00:00"/>
    <x v="6"/>
    <x v="3"/>
    <x v="2"/>
    <n v="40067.151210000004"/>
    <n v="34559.084519999997"/>
    <n v="953"/>
    <n v="42.043180703043028"/>
    <x v="1"/>
    <n v="13.747088384525071"/>
    <n v="36.263467492130111"/>
    <n v="13.747088384525078"/>
  </r>
  <r>
    <d v="2016-06-23T00:00:00"/>
    <x v="6"/>
    <x v="3"/>
    <x v="3"/>
    <n v="143752.73680000001"/>
    <n v="155659.5337"/>
    <n v="4305"/>
    <n v="33.392041068524975"/>
    <x v="0"/>
    <n v="-8.2828314542391279"/>
    <n v="36.157847549361207"/>
    <n v="-8.2828314542391244"/>
  </r>
  <r>
    <d v="2016-06-24T00:00:00"/>
    <x v="6"/>
    <x v="3"/>
    <x v="4"/>
    <n v="389904.0086"/>
    <n v="422372.58159999998"/>
    <n v="11667"/>
    <n v="33.419388754607013"/>
    <x v="0"/>
    <n v="-8.327324747591728"/>
    <n v="36.202329784863288"/>
    <n v="-8.3273247475917227"/>
  </r>
  <r>
    <d v="2016-06-25T00:00:00"/>
    <x v="6"/>
    <x v="3"/>
    <x v="5"/>
    <n v="461280.7856"/>
    <n v="498910.32900000003"/>
    <n v="13793"/>
    <n v="33.443107779308342"/>
    <x v="0"/>
    <n v="-8.1576221196931691"/>
    <n v="36.171270137026028"/>
    <n v="-8.1576221196931744"/>
  </r>
  <r>
    <d v="2016-06-26T00:00:00"/>
    <x v="6"/>
    <x v="3"/>
    <x v="6"/>
    <n v="221578.69680000001"/>
    <n v="240449.62229999999"/>
    <n v="6641"/>
    <n v="33.36526077397982"/>
    <x v="0"/>
    <n v="-8.5165793339028166"/>
    <n v="36.206839677759369"/>
    <n v="-8.5165793339028202"/>
  </r>
  <r>
    <d v="2016-06-27T00:00:00"/>
    <x v="6"/>
    <x v="3"/>
    <x v="0"/>
    <n v="253702.223"/>
    <n v="274426.08029999997"/>
    <n v="7593"/>
    <n v="33.412646253127882"/>
    <x v="0"/>
    <n v="-8.1685753695583401"/>
    <n v="36.141983445278541"/>
    <n v="-8.168575369558333"/>
  </r>
  <r>
    <d v="2016-06-28T00:00:00"/>
    <x v="6"/>
    <x v="3"/>
    <x v="1"/>
    <n v="200616.07620000001"/>
    <n v="217104.5797"/>
    <n v="6007"/>
    <n v="33.397049475611787"/>
    <x v="0"/>
    <n v="-8.218934300939134"/>
    <n v="36.141931030464455"/>
    <n v="-8.2189343009391269"/>
  </r>
  <r>
    <d v="2016-06-29T00:00:00"/>
    <x v="6"/>
    <x v="3"/>
    <x v="2"/>
    <n v="211700.8132"/>
    <n v="229023.8107"/>
    <n v="6345"/>
    <n v="33.364982379826635"/>
    <x v="0"/>
    <n v="-8.1827732440661194"/>
    <n v="36.095163230890464"/>
    <n v="-8.1827732440661158"/>
  </r>
  <r>
    <d v="2016-06-30T00:00:00"/>
    <x v="6"/>
    <x v="3"/>
    <x v="3"/>
    <n v="282757.71139999997"/>
    <n v="305894.1801"/>
    <n v="8482"/>
    <n v="33.336207427493513"/>
    <x v="0"/>
    <n v="-8.1824359751130835"/>
    <n v="36.063921256779061"/>
    <n v="-8.1824359751130817"/>
  </r>
  <r>
    <d v="2016-07-01T00:00:00"/>
    <x v="7"/>
    <x v="3"/>
    <x v="4"/>
    <n v="479010.15669999999"/>
    <n v="517742.19260000001"/>
    <n v="14344"/>
    <n v="33.39446156581149"/>
    <x v="0"/>
    <n v="-8.0858485688138675"/>
    <n v="36.094687158393754"/>
    <n v="-8.0858485688138622"/>
  </r>
  <r>
    <d v="2016-07-02T00:00:00"/>
    <x v="7"/>
    <x v="3"/>
    <x v="5"/>
    <n v="454543.28580000001"/>
    <n v="490487.0246"/>
    <n v="13609"/>
    <n v="33.400197354691748"/>
    <x v="0"/>
    <n v="-7.9076602653449619"/>
    <n v="36.041371489455507"/>
    <n v="-7.9076602653449619"/>
  </r>
  <r>
    <d v="2016-07-03T00:00:00"/>
    <x v="7"/>
    <x v="3"/>
    <x v="6"/>
    <n v="242185.1807"/>
    <n v="261534.91200000001"/>
    <n v="7259"/>
    <n v="33.363435831381736"/>
    <x v="0"/>
    <n v="-7.9896429847906107"/>
    <n v="36.029055241768837"/>
    <n v="-7.9896429847905921"/>
  </r>
  <r>
    <d v="2016-07-04T00:00:00"/>
    <x v="7"/>
    <x v="3"/>
    <x v="0"/>
    <n v="281531.68560000003"/>
    <n v="304052.47700000001"/>
    <n v="8431"/>
    <n v="33.392442841893015"/>
    <x v="0"/>
    <n v="-7.9993807276092923"/>
    <n v="36.063631479065357"/>
    <n v="-7.9993807276093039"/>
  </r>
  <r>
    <d v="2016-07-05T00:00:00"/>
    <x v="7"/>
    <x v="3"/>
    <x v="1"/>
    <n v="219363.22010000001"/>
    <n v="237026.3505"/>
    <n v="6577"/>
    <n v="33.353081967462373"/>
    <x v="0"/>
    <n v="-8.0520017858727595"/>
    <n v="36.038672723126048"/>
    <n v="-8.0520017858727577"/>
  </r>
  <r>
    <d v="2016-07-06T00:00:00"/>
    <x v="7"/>
    <x v="3"/>
    <x v="2"/>
    <n v="204005.5822"/>
    <n v="219722.89499999999"/>
    <n v="6098"/>
    <n v="33.454506756313549"/>
    <x v="0"/>
    <n v="-7.7043542782036605"/>
    <n v="36.031960478845519"/>
    <n v="-7.7043542782036454"/>
  </r>
  <r>
    <d v="2016-07-07T00:00:00"/>
    <x v="7"/>
    <x v="3"/>
    <x v="3"/>
    <n v="69579.068459999995"/>
    <n v="59598.917800000003"/>
    <n v="1654"/>
    <n v="42.067151426844013"/>
    <x v="1"/>
    <n v="14.343610630167372"/>
    <n v="36.033203022974611"/>
    <n v="14.343610630167369"/>
  </r>
  <r>
    <d v="2016-07-08T00:00:00"/>
    <x v="7"/>
    <x v="3"/>
    <x v="4"/>
    <n v="87184.740030000001"/>
    <n v="74654.520420000001"/>
    <n v="2073"/>
    <n v="42.057279319826335"/>
    <x v="1"/>
    <n v="14.372033002207028"/>
    <n v="36.012793256150509"/>
    <n v="14.372033002207013"/>
  </r>
  <r>
    <d v="2016-07-09T00:00:00"/>
    <x v="7"/>
    <x v="3"/>
    <x v="5"/>
    <n v="78700.436050000004"/>
    <n v="67367.383239999996"/>
    <n v="1871"/>
    <n v="42.063300935328705"/>
    <x v="1"/>
    <n v="14.400241445676217"/>
    <n v="36.006084040619989"/>
    <n v="14.400241445676217"/>
  </r>
  <r>
    <d v="2016-07-10T00:00:00"/>
    <x v="7"/>
    <x v="3"/>
    <x v="6"/>
    <n v="39809.559090000002"/>
    <n v="34091.569660000001"/>
    <n v="946"/>
    <n v="42.081986353065538"/>
    <x v="2"/>
    <n v="14.363357848483021"/>
    <n v="36.037600063424946"/>
    <n v="14.36335784848302"/>
  </r>
  <r>
    <d v="2016-07-11T00:00:00"/>
    <x v="7"/>
    <x v="3"/>
    <x v="0"/>
    <n v="45839.238770000004"/>
    <n v="39231.195370000001"/>
    <n v="1090"/>
    <n v="42.054347495412848"/>
    <x v="1"/>
    <n v="14.415691833706257"/>
    <n v="35.991922357798167"/>
    <n v="14.415691833706257"/>
  </r>
  <r>
    <d v="2016-07-12T00:00:00"/>
    <x v="7"/>
    <x v="3"/>
    <x v="1"/>
    <n v="36851.763749999998"/>
    <n v="31574.32547"/>
    <n v="876"/>
    <n v="42.068223458904107"/>
    <x v="1"/>
    <n v="14.320721026547877"/>
    <n v="36.043750536529679"/>
    <n v="14.320721026547881"/>
  </r>
  <r>
    <d v="2016-07-13T00:00:00"/>
    <x v="7"/>
    <x v="3"/>
    <x v="2"/>
    <n v="33225.670469999997"/>
    <n v="28489.081399999999"/>
    <n v="790"/>
    <n v="42.057810721518983"/>
    <x v="1"/>
    <n v="14.255811855705794"/>
    <n v="36.062128354430378"/>
    <n v="14.255811855705794"/>
  </r>
  <r>
    <d v="2016-07-14T00:00:00"/>
    <x v="7"/>
    <x v="3"/>
    <x v="3"/>
    <n v="30423.391459999999"/>
    <n v="26053.796719999998"/>
    <n v="723"/>
    <n v="42.079379612724757"/>
    <x v="2"/>
    <n v="14.362615508350038"/>
    <n v="36.03568011065007"/>
    <n v="14.362615508350032"/>
  </r>
  <r>
    <d v="2016-07-15T00:00:00"/>
    <x v="7"/>
    <x v="3"/>
    <x v="4"/>
    <n v="80345.637659999993"/>
    <n v="68788.094540000006"/>
    <n v="1910"/>
    <n v="42.065778879581146"/>
    <x v="1"/>
    <n v="14.384779879286341"/>
    <n v="36.014709183246076"/>
    <n v="14.384779879286336"/>
  </r>
  <r>
    <d v="2016-07-16T00:00:00"/>
    <x v="7"/>
    <x v="3"/>
    <x v="5"/>
    <n v="95297.338629999998"/>
    <n v="81655.857730000003"/>
    <n v="2266"/>
    <n v="42.055312722859661"/>
    <x v="1"/>
    <n v="14.314650436319321"/>
    <n v="36.035241716681377"/>
    <n v="14.314650436319317"/>
  </r>
  <r>
    <d v="2016-07-17T00:00:00"/>
    <x v="7"/>
    <x v="3"/>
    <x v="6"/>
    <n v="45324.054530000001"/>
    <n v="38809.808900000004"/>
    <n v="1078"/>
    <n v="42.044577486085345"/>
    <x v="1"/>
    <n v="14.372601254568293"/>
    <n v="36.001678014842305"/>
    <n v="14.37260125456829"/>
  </r>
  <r>
    <d v="2016-07-18T00:00:00"/>
    <x v="7"/>
    <x v="3"/>
    <x v="0"/>
    <n v="51604.118410000003"/>
    <n v="44222.784480000002"/>
    <n v="1227"/>
    <n v="42.057146218418907"/>
    <x v="1"/>
    <n v="14.303769073922643"/>
    <n v="36.041389144254282"/>
    <n v="14.303769073922631"/>
  </r>
  <r>
    <d v="2016-07-19T00:00:00"/>
    <x v="7"/>
    <x v="3"/>
    <x v="1"/>
    <n v="37870.119030000002"/>
    <n v="32436.795969999999"/>
    <n v="900"/>
    <n v="42.077910033333332"/>
    <x v="2"/>
    <n v="14.34725635717127"/>
    <n v="36.040884411111108"/>
    <n v="14.34725635717127"/>
  </r>
  <r>
    <d v="2016-07-20T00:00:00"/>
    <x v="7"/>
    <x v="3"/>
    <x v="2"/>
    <n v="42723.524460000001"/>
    <n v="36607.390659999997"/>
    <n v="1016"/>
    <n v="42.050713051181106"/>
    <x v="1"/>
    <n v="14.315611544937608"/>
    <n v="36.030896318897632"/>
    <n v="14.315611544937621"/>
  </r>
  <r>
    <d v="2016-07-21T00:00:00"/>
    <x v="7"/>
    <x v="3"/>
    <x v="3"/>
    <n v="35169.915809999999"/>
    <n v="30133.318640000001"/>
    <n v="836"/>
    <n v="42.069277284688994"/>
    <x v="1"/>
    <n v="14.320754127503262"/>
    <n v="36.044639521531103"/>
    <n v="14.32075412750326"/>
  </r>
  <r>
    <d v="2016-07-22T00:00:00"/>
    <x v="7"/>
    <x v="3"/>
    <x v="4"/>
    <n v="61148.205009999998"/>
    <n v="52384.447480000003"/>
    <n v="1454"/>
    <n v="42.055161629986245"/>
    <x v="1"/>
    <n v="14.331994747134107"/>
    <n v="36.027818074277853"/>
    <n v="14.331994747134116"/>
  </r>
  <r>
    <d v="2016-07-23T00:00:00"/>
    <x v="7"/>
    <x v="3"/>
    <x v="5"/>
    <n v="77171.701799999995"/>
    <n v="66113.832039999994"/>
    <n v="1835"/>
    <n v="42.055423324250675"/>
    <x v="1"/>
    <n v="14.328917857296755"/>
    <n v="36.029336261580376"/>
    <n v="14.328917857296755"/>
  </r>
  <r>
    <d v="2016-07-24T00:00:00"/>
    <x v="7"/>
    <x v="3"/>
    <x v="6"/>
    <n v="40881.354910000002"/>
    <n v="35019.112639999999"/>
    <n v="972"/>
    <n v="42.059007109053503"/>
    <x v="1"/>
    <n v="14.339647702248826"/>
    <n v="36.027893662551442"/>
    <n v="14.339647702248829"/>
  </r>
  <r>
    <d v="2016-07-25T00:00:00"/>
    <x v="7"/>
    <x v="3"/>
    <x v="0"/>
    <n v="43085.595009999997"/>
    <n v="36887.366170000001"/>
    <n v="1024"/>
    <n v="42.075776376953122"/>
    <x v="2"/>
    <n v="14.385849466768214"/>
    <n v="36.022818525390626"/>
    <n v="14.385849466768214"/>
  </r>
  <r>
    <d v="2016-07-26T00:00:00"/>
    <x v="7"/>
    <x v="3"/>
    <x v="1"/>
    <n v="43894.993430000002"/>
    <n v="37604.65842"/>
    <n v="1044"/>
    <n v="42.045012863984674"/>
    <x v="1"/>
    <n v="14.330415654421486"/>
    <n v="36.019787758620687"/>
    <n v="14.330415654421486"/>
  </r>
  <r>
    <d v="2016-07-27T00:00:00"/>
    <x v="7"/>
    <x v="3"/>
    <x v="2"/>
    <n v="67780.728889999999"/>
    <n v="58196.145989999997"/>
    <n v="1611"/>
    <n v="42.073698876474239"/>
    <x v="2"/>
    <n v="14.140572190592154"/>
    <n v="36.124237113594042"/>
    <n v="14.140572190592149"/>
  </r>
  <r>
    <d v="2016-07-28T00:00:00"/>
    <x v="7"/>
    <x v="3"/>
    <x v="3"/>
    <n v="51907.943149999999"/>
    <n v="44544.630740000001"/>
    <n v="1234"/>
    <n v="42.064783752025932"/>
    <x v="1"/>
    <n v="14.185328801647959"/>
    <n v="36.097755867098869"/>
    <n v="14.185328801647954"/>
  </r>
  <r>
    <d v="2016-07-29T00:00:00"/>
    <x v="7"/>
    <x v="3"/>
    <x v="4"/>
    <n v="93508.633889999997"/>
    <n v="80346.694130000003"/>
    <n v="2223"/>
    <n v="42.064162793522264"/>
    <x v="1"/>
    <n v="14.07564116002721"/>
    <n v="36.143362181736393"/>
    <n v="14.07564116002721"/>
  </r>
  <r>
    <d v="2016-07-30T00:00:00"/>
    <x v="7"/>
    <x v="3"/>
    <x v="5"/>
    <n v="95343.595509999999"/>
    <n v="81874.288860000001"/>
    <n v="2267"/>
    <n v="42.05716608292898"/>
    <x v="1"/>
    <n v="14.127122622082453"/>
    <n v="36.11569865902073"/>
    <n v="14.127122622082455"/>
  </r>
  <r>
    <d v="2016-07-31T00:00:00"/>
    <x v="7"/>
    <x v="3"/>
    <x v="6"/>
    <n v="59514.992330000001"/>
    <n v="51145.403339999997"/>
    <n v="1415"/>
    <n v="42.06006525088339"/>
    <x v="1"/>
    <n v="14.062992638211441"/>
    <n v="36.145161371024734"/>
    <n v="14.062992638211433"/>
  </r>
  <r>
    <d v="2016-08-01T00:00:00"/>
    <x v="8"/>
    <x v="3"/>
    <x v="0"/>
    <n v="65133.966200000003"/>
    <n v="55946.056559999997"/>
    <n v="1548"/>
    <n v="42.076205555555561"/>
    <x v="2"/>
    <n v="14.106172518018726"/>
    <n v="36.14086341085271"/>
    <n v="14.106172518018736"/>
  </r>
  <r>
    <d v="2016-08-02T00:00:00"/>
    <x v="8"/>
    <x v="3"/>
    <x v="1"/>
    <n v="70641.253719999993"/>
    <n v="60629.553"/>
    <n v="1679"/>
    <n v="42.073409005360332"/>
    <x v="1"/>
    <n v="14.17259772835186"/>
    <n v="36.110513996426441"/>
    <n v="14.172597728351874"/>
  </r>
  <r>
    <d v="2016-08-03T00:00:00"/>
    <x v="8"/>
    <x v="3"/>
    <x v="2"/>
    <n v="48442.171479999997"/>
    <n v="41610.783940000001"/>
    <n v="1152"/>
    <n v="42.050496076388889"/>
    <x v="1"/>
    <n v="14.102149699916788"/>
    <n v="36.120472170138889"/>
    <n v="14.102149699916797"/>
  </r>
  <r>
    <d v="2016-08-04T00:00:00"/>
    <x v="8"/>
    <x v="3"/>
    <x v="3"/>
    <n v="46291.371919999998"/>
    <n v="39783.360670000002"/>
    <n v="1101"/>
    <n v="42.044842797456859"/>
    <x v="1"/>
    <n v="14.058799685710408"/>
    <n v="36.133842570390556"/>
    <n v="14.058799685710415"/>
  </r>
  <r>
    <d v="2016-08-05T00:00:00"/>
    <x v="8"/>
    <x v="3"/>
    <x v="4"/>
    <n v="73453.143290000007"/>
    <n v="63386.492590000002"/>
    <n v="1746"/>
    <n v="42.069383327605962"/>
    <x v="1"/>
    <n v="13.704860335596408"/>
    <n v="36.303833098510886"/>
    <n v="13.704860335596406"/>
  </r>
  <r>
    <d v="2016-08-06T00:00:00"/>
    <x v="8"/>
    <x v="3"/>
    <x v="5"/>
    <n v="71508.897949999999"/>
    <n v="61500.574650000002"/>
    <n v="1700"/>
    <n v="42.064057617647059"/>
    <x v="1"/>
    <n v="13.995913217678105"/>
    <n v="36.176808617647062"/>
    <n v="13.995913217678101"/>
  </r>
  <r>
    <d v="2016-08-07T00:00:00"/>
    <x v="8"/>
    <x v="3"/>
    <x v="6"/>
    <n v="30066.126179999999"/>
    <n v="25872.48835"/>
    <n v="715"/>
    <n v="42.050526125874121"/>
    <x v="1"/>
    <n v="13.948048394706763"/>
    <n v="36.185298391608391"/>
    <n v="13.948048394706754"/>
  </r>
  <r>
    <d v="2016-08-08T00:00:00"/>
    <x v="8"/>
    <x v="3"/>
    <x v="0"/>
    <n v="37726.615899999997"/>
    <n v="32490.136020000002"/>
    <n v="897"/>
    <n v="42.05865763656633"/>
    <x v="1"/>
    <n v="13.880067838260562"/>
    <n v="36.220887424749165"/>
    <n v="13.880067838260569"/>
  </r>
  <r>
    <d v="2016-08-09T00:00:00"/>
    <x v="8"/>
    <x v="3"/>
    <x v="1"/>
    <n v="30831.694630000002"/>
    <n v="26577.079450000001"/>
    <n v="733"/>
    <n v="42.062339195088676"/>
    <x v="1"/>
    <n v="13.799485338247203"/>
    <n v="36.257952864938609"/>
    <n v="13.799485338247198"/>
  </r>
  <r>
    <d v="2016-08-10T00:00:00"/>
    <x v="8"/>
    <x v="3"/>
    <x v="2"/>
    <n v="146811.45509999999"/>
    <n v="155135.62909999999"/>
    <n v="4282"/>
    <n v="34.285720481083601"/>
    <x v="0"/>
    <n v="-5.6699758164851808"/>
    <n v="36.229712540868753"/>
    <n v="-5.6699758164851977"/>
  </r>
  <r>
    <d v="2016-08-11T00:00:00"/>
    <x v="8"/>
    <x v="3"/>
    <x v="3"/>
    <n v="99867.329620000004"/>
    <n v="103826.70140000001"/>
    <n v="2867"/>
    <n v="34.833390170910363"/>
    <x v="0"/>
    <n v="-3.9646316719047179"/>
    <n v="36.214405790024415"/>
    <n v="-3.9646316719047032"/>
  </r>
  <r>
    <d v="2016-08-12T00:00:00"/>
    <x v="8"/>
    <x v="3"/>
    <x v="4"/>
    <n v="210664.8628"/>
    <n v="220379.27669999999"/>
    <n v="6082"/>
    <n v="34.637432226241366"/>
    <x v="0"/>
    <n v="-4.6113119059739009"/>
    <n v="36.234672262413675"/>
    <n v="-4.6113119059739009"/>
  </r>
  <r>
    <d v="2016-08-13T00:00:00"/>
    <x v="8"/>
    <x v="3"/>
    <x v="5"/>
    <n v="266271.03909999999"/>
    <n v="281658.41830000002"/>
    <n v="7771"/>
    <n v="34.26470712906962"/>
    <x v="0"/>
    <n v="-5.7788407075773591"/>
    <n v="36.244809972976455"/>
    <n v="-5.7788407075773529"/>
  </r>
  <r>
    <d v="2016-08-14T00:00:00"/>
    <x v="8"/>
    <x v="3"/>
    <x v="6"/>
    <n v="123084.03909999999"/>
    <n v="129601.5272"/>
    <n v="3576"/>
    <n v="34.419474021252796"/>
    <x v="0"/>
    <n v="-5.2951529277527607"/>
    <n v="36.242037807606266"/>
    <n v="-5.295152927752766"/>
  </r>
  <r>
    <d v="2016-08-15T00:00:00"/>
    <x v="8"/>
    <x v="3"/>
    <x v="0"/>
    <n v="162727.52480000001"/>
    <n v="168580.17060000001"/>
    <n v="4649"/>
    <n v="35.002694084749415"/>
    <x v="0"/>
    <n v="-3.5965924063511583"/>
    <n v="36.261598322219832"/>
    <n v="-3.5965924063511423"/>
  </r>
  <r>
    <d v="2016-08-16T00:00:00"/>
    <x v="8"/>
    <x v="3"/>
    <x v="1"/>
    <n v="114708.946"/>
    <n v="119758.06170000001"/>
    <n v="3302"/>
    <n v="34.739232586311324"/>
    <x v="0"/>
    <n v="-4.4016756112465805"/>
    <n v="36.268340914597218"/>
    <n v="-4.4016756112465893"/>
  </r>
  <r>
    <d v="2016-08-17T00:00:00"/>
    <x v="8"/>
    <x v="3"/>
    <x v="2"/>
    <n v="122318.9075"/>
    <n v="128298.3435"/>
    <n v="3536"/>
    <n v="34.592451216063345"/>
    <x v="0"/>
    <n v="-4.8883987947652345"/>
    <n v="36.283468184389143"/>
    <n v="-4.8883987947652505"/>
  </r>
  <r>
    <d v="2016-08-18T00:00:00"/>
    <x v="8"/>
    <x v="3"/>
    <x v="3"/>
    <n v="112010.34450000001"/>
    <n v="117374.19160000001"/>
    <n v="3236"/>
    <n v="34.613827101359703"/>
    <x v="0"/>
    <n v="-4.7887069037628027"/>
    <n v="36.271381829419035"/>
    <n v="-4.7887069037628001"/>
  </r>
  <r>
    <d v="2016-08-19T00:00:00"/>
    <x v="8"/>
    <x v="3"/>
    <x v="4"/>
    <n v="229861.47029999999"/>
    <n v="241090.1336"/>
    <n v="6646"/>
    <n v="34.586438504363528"/>
    <x v="0"/>
    <n v="-4.8849697538892043"/>
    <n v="36.275975564249173"/>
    <n v="-4.8849697538891945"/>
  </r>
  <r>
    <d v="2016-08-20T00:00:00"/>
    <x v="8"/>
    <x v="3"/>
    <x v="5"/>
    <n v="249981.24969999999"/>
    <n v="262145.17729999998"/>
    <n v="7220"/>
    <n v="34.623441786703602"/>
    <x v="0"/>
    <n v="-4.8659359910384499"/>
    <n v="36.308196301939056"/>
    <n v="-4.8659359910384428"/>
  </r>
  <r>
    <d v="2016-08-21T00:00:00"/>
    <x v="8"/>
    <x v="3"/>
    <x v="6"/>
    <n v="136480.24909999999"/>
    <n v="143734.22719999999"/>
    <n v="3958"/>
    <n v="34.482124583122783"/>
    <x v="0"/>
    <n v="-5.3150387311243623"/>
    <n v="36.314862860030317"/>
    <n v="-5.3150387311243721"/>
  </r>
  <r>
    <d v="2016-08-22T00:00:00"/>
    <x v="8"/>
    <x v="3"/>
    <x v="0"/>
    <n v="127369.8026"/>
    <n v="133350.16140000001"/>
    <n v="3672"/>
    <n v="34.686765413943355"/>
    <x v="0"/>
    <n v="-4.6952720958366445"/>
    <n v="36.315403431372552"/>
    <n v="-4.6952720958366383"/>
  </r>
  <r>
    <d v="2016-08-23T00:00:00"/>
    <x v="8"/>
    <x v="3"/>
    <x v="1"/>
    <n v="43537.728159999999"/>
    <n v="37649.38753"/>
    <n v="1035"/>
    <n v="42.065437835748789"/>
    <x v="1"/>
    <n v="13.524685092342214"/>
    <n v="36.376219835748792"/>
    <n v="13.524685092342212"/>
  </r>
  <r>
    <d v="2016-08-24T00:00:00"/>
    <x v="8"/>
    <x v="3"/>
    <x v="2"/>
    <n v="120407.4133"/>
    <n v="127699.41590000001"/>
    <n v="3549"/>
    <n v="33.927138151591997"/>
    <x v="0"/>
    <n v="-6.0561076765528421"/>
    <n v="35.981802169625247"/>
    <n v="-6.0561076765528403"/>
  </r>
  <r>
    <d v="2016-08-25T00:00:00"/>
    <x v="8"/>
    <x v="3"/>
    <x v="3"/>
    <n v="226375.54310000001"/>
    <n v="240429.68549999999"/>
    <n v="6647"/>
    <n v="34.056799022115243"/>
    <x v="0"/>
    <n v="-6.2083307266949994"/>
    <n v="36.171157740333982"/>
    <n v="-6.2083307266949888"/>
  </r>
  <r>
    <d v="2016-08-26T00:00:00"/>
    <x v="8"/>
    <x v="3"/>
    <x v="4"/>
    <n v="337900.17820000002"/>
    <n v="358772.25040000002"/>
    <n v="9908"/>
    <n v="34.103772527250712"/>
    <x v="0"/>
    <n v="-6.1769935461963588"/>
    <n v="36.21036035526847"/>
    <n v="-6.1769935461963454"/>
  </r>
  <r>
    <d v="2016-08-27T00:00:00"/>
    <x v="8"/>
    <x v="3"/>
    <x v="5"/>
    <n v="355069.54009999998"/>
    <n v="376755.56449999998"/>
    <n v="10393"/>
    <n v="34.164297132685462"/>
    <x v="0"/>
    <n v="-6.1075428756554144"/>
    <n v="36.250896228230538"/>
    <n v="-6.1075428756554073"/>
  </r>
  <r>
    <d v="2016-08-28T00:00:00"/>
    <x v="8"/>
    <x v="3"/>
    <x v="6"/>
    <n v="153893.68520000001"/>
    <n v="163401.32920000001"/>
    <n v="4507"/>
    <n v="34.145481517639233"/>
    <x v="0"/>
    <n v="-6.1780598649281027"/>
    <n v="36.255009806966939"/>
    <n v="-6.1780598649280831"/>
  </r>
  <r>
    <d v="2016-08-29T00:00:00"/>
    <x v="8"/>
    <x v="3"/>
    <x v="0"/>
    <n v="159625.7409"/>
    <n v="169479.1061"/>
    <n v="4672"/>
    <n v="34.166468514554794"/>
    <x v="0"/>
    <n v="-6.1727921477105578"/>
    <n v="36.275493600171231"/>
    <n v="-6.1727921477105552"/>
  </r>
  <r>
    <d v="2016-08-30T00:00:00"/>
    <x v="8"/>
    <x v="3"/>
    <x v="1"/>
    <n v="133961.967"/>
    <n v="142299.9178"/>
    <n v="3924"/>
    <n v="34.139135321100916"/>
    <x v="0"/>
    <n v="-6.2241179244553724"/>
    <n v="36.263995361875637"/>
    <n v="-6.2241179244553813"/>
  </r>
  <r>
    <d v="2016-08-31T00:00:00"/>
    <x v="8"/>
    <x v="3"/>
    <x v="2"/>
    <n v="236305.15640000001"/>
    <n v="250572.4534"/>
    <n v="6918"/>
    <n v="34.158016247470371"/>
    <x v="0"/>
    <n v="-6.0376579239131623"/>
    <n v="36.22036042208731"/>
    <n v="-6.0376579239131587"/>
  </r>
  <r>
    <d v="2016-09-01T00:00:00"/>
    <x v="9"/>
    <x v="3"/>
    <x v="3"/>
    <n v="313491.73509999999"/>
    <n v="333030.87569999998"/>
    <n v="9183"/>
    <n v="34.138270184035719"/>
    <x v="0"/>
    <n v="-6.2327450494882228"/>
    <n v="36.26602152891212"/>
    <n v="-6.2327450494882255"/>
  </r>
  <r>
    <d v="2016-09-02T00:00:00"/>
    <x v="9"/>
    <x v="3"/>
    <x v="4"/>
    <n v="370355.00170000002"/>
    <n v="392493.08270000003"/>
    <n v="10830"/>
    <n v="34.197137737765466"/>
    <x v="0"/>
    <n v="-5.9775299100544066"/>
    <n v="36.241281874422903"/>
    <n v="-5.9775299100544155"/>
  </r>
  <r>
    <d v="2016-09-03T00:00:00"/>
    <x v="9"/>
    <x v="3"/>
    <x v="5"/>
    <n v="369091.05540000001"/>
    <n v="391842.50140000001"/>
    <n v="10800"/>
    <n v="34.175097722222226"/>
    <x v="0"/>
    <n v="-6.1641824333410806"/>
    <n v="36.281713092592597"/>
    <n v="-6.1641824333410806"/>
  </r>
  <r>
    <d v="2016-09-04T00:00:00"/>
    <x v="9"/>
    <x v="3"/>
    <x v="6"/>
    <n v="209026.0197"/>
    <n v="222163.72889999999"/>
    <n v="6119"/>
    <n v="34.160160107860762"/>
    <x v="0"/>
    <n v="-6.2852027794700351"/>
    <n v="36.307195440431443"/>
    <n v="-6.2852027794700422"/>
  </r>
  <r>
    <d v="2016-09-05T00:00:00"/>
    <x v="9"/>
    <x v="3"/>
    <x v="0"/>
    <n v="228177.3168"/>
    <n v="242589.58720000001"/>
    <n v="6685"/>
    <n v="34.132732505609575"/>
    <x v="0"/>
    <n v="-6.31625904017117"/>
    <n v="36.288644308152584"/>
    <n v="-6.3162590401711736"/>
  </r>
  <r>
    <d v="2016-09-06T00:00:00"/>
    <x v="9"/>
    <x v="3"/>
    <x v="1"/>
    <n v="154494.78200000001"/>
    <n v="164108.82639999999"/>
    <n v="4519"/>
    <n v="34.187825182562513"/>
    <x v="0"/>
    <n v="-6.2228926281794967"/>
    <n v="36.315296835583091"/>
    <n v="-6.2228926281795021"/>
  </r>
  <r>
    <d v="2016-09-07T00:00:00"/>
    <x v="9"/>
    <x v="3"/>
    <x v="2"/>
    <n v="50736.474170000001"/>
    <n v="43830.19685"/>
    <n v="1206"/>
    <n v="42.070044917081262"/>
    <x v="1"/>
    <n v="13.612056085843699"/>
    <n v="36.343446807628524"/>
    <n v="13.612056085843699"/>
  </r>
  <r>
    <d v="2016-09-08T00:00:00"/>
    <x v="9"/>
    <x v="3"/>
    <x v="3"/>
    <n v="43292.149239999999"/>
    <n v="37391.680890000003"/>
    <n v="1029"/>
    <n v="42.07205951409135"/>
    <x v="1"/>
    <n v="13.629418852109628"/>
    <n v="36.337882303207003"/>
    <n v="13.629418852109623"/>
  </r>
  <r>
    <d v="2016-09-09T00:00:00"/>
    <x v="9"/>
    <x v="3"/>
    <x v="4"/>
    <n v="77335.918600000005"/>
    <n v="69612.126699999993"/>
    <n v="1917"/>
    <n v="40.342158894105374"/>
    <x v="1"/>
    <n v="9.9873280615561342"/>
    <n v="36.313055138236827"/>
    <n v="9.9873280615561271"/>
  </r>
  <r>
    <d v="2016-09-10T00:00:00"/>
    <x v="9"/>
    <x v="3"/>
    <x v="5"/>
    <n v="85070.234890000007"/>
    <n v="76591.852920000005"/>
    <n v="2108"/>
    <n v="40.355898904174573"/>
    <x v="1"/>
    <n v="9.9663319149911445"/>
    <n v="36.333896072106263"/>
    <n v="9.9663319149911391"/>
  </r>
  <r>
    <d v="2016-09-11T00:00:00"/>
    <x v="9"/>
    <x v="3"/>
    <x v="6"/>
    <n v="48831.666109999998"/>
    <n v="44014.232020000003"/>
    <n v="1211"/>
    <n v="40.323423707679602"/>
    <x v="0"/>
    <n v="9.8653895592013328"/>
    <n v="36.345360875309666"/>
    <n v="9.8653895592013257"/>
  </r>
  <r>
    <d v="2016-09-12T00:00:00"/>
    <x v="9"/>
    <x v="3"/>
    <x v="0"/>
    <n v="52075.157180000002"/>
    <n v="46884.142509999998"/>
    <n v="1291"/>
    <n v="40.33706985282727"/>
    <x v="0"/>
    <n v="9.9683130135489382"/>
    <n v="36.316144469403561"/>
    <n v="9.9683130135489453"/>
  </r>
  <r>
    <d v="2016-09-13T00:00:00"/>
    <x v="9"/>
    <x v="3"/>
    <x v="1"/>
    <n v="30424.726259999999"/>
    <n v="27398.58813"/>
    <n v="755"/>
    <n v="40.297650675496691"/>
    <x v="0"/>
    <n v="9.9463117733240676"/>
    <n v="36.289520701986753"/>
    <n v="9.94631177332408"/>
  </r>
  <r>
    <d v="2016-09-14T00:00:00"/>
    <x v="9"/>
    <x v="3"/>
    <x v="2"/>
    <n v="20495.11303"/>
    <n v="18375.052609999999"/>
    <n v="508"/>
    <n v="40.344710688976377"/>
    <x v="1"/>
    <n v="10.344224093308167"/>
    <n v="36.171363405511812"/>
    <n v="10.344224093308156"/>
  </r>
  <r>
    <d v="2016-09-15T00:00:00"/>
    <x v="9"/>
    <x v="3"/>
    <x v="3"/>
    <n v="40742.171679999999"/>
    <n v="36464.759810000003"/>
    <n v="1010"/>
    <n v="40.33878384158416"/>
    <x v="1"/>
    <n v="10.498733115151403"/>
    <n v="36.103722584158419"/>
    <n v="10.498733115151406"/>
  </r>
  <r>
    <d v="2016-09-16T00:00:00"/>
    <x v="9"/>
    <x v="3"/>
    <x v="4"/>
    <n v="69864.836989999996"/>
    <n v="62545.19068"/>
    <n v="1733"/>
    <n v="40.31438949221004"/>
    <x v="0"/>
    <n v="10.476867370416514"/>
    <n v="36.090704373918058"/>
    <n v="10.476867370416526"/>
  </r>
  <r>
    <d v="2016-09-17T00:00:00"/>
    <x v="9"/>
    <x v="3"/>
    <x v="5"/>
    <n v="100120.7111"/>
    <n v="89572.407619999998"/>
    <n v="2482"/>
    <n v="40.338723247381147"/>
    <x v="0"/>
    <n v="10.535585858418861"/>
    <n v="36.088802425463335"/>
    <n v="10.535585858418866"/>
  </r>
  <r>
    <d v="2016-09-18T00:00:00"/>
    <x v="9"/>
    <x v="3"/>
    <x v="6"/>
    <n v="49825.097040000001"/>
    <n v="44593.796880000002"/>
    <n v="1235"/>
    <n v="40.344208129554659"/>
    <x v="0"/>
    <n v="10.49932758946815"/>
    <n v="36.108337554655868"/>
    <n v="10.499327589468164"/>
  </r>
  <r>
    <d v="2016-09-19T00:00:00"/>
    <x v="9"/>
    <x v="3"/>
    <x v="0"/>
    <n v="46566.462050000002"/>
    <n v="41660.440430000002"/>
    <n v="1155"/>
    <n v="40.317283160173162"/>
    <x v="0"/>
    <n v="10.535525792645007"/>
    <n v="36.069645393939396"/>
    <n v="10.535525792645007"/>
  </r>
  <r>
    <d v="2016-09-20T00:00:00"/>
    <x v="9"/>
    <x v="3"/>
    <x v="1"/>
    <n v="37923.76586"/>
    <n v="34031.149490000003"/>
    <n v="940"/>
    <n v="40.344431765957445"/>
    <x v="0"/>
    <n v="10.264319172231056"/>
    <n v="36.203350521276597"/>
    <n v="10.26431917223106"/>
  </r>
  <r>
    <d v="2016-09-21T00:00:00"/>
    <x v="9"/>
    <x v="3"/>
    <x v="2"/>
    <n v="50084.812700000002"/>
    <n v="44832.212599999999"/>
    <n v="1241"/>
    <n v="40.358430862207896"/>
    <x v="1"/>
    <n v="10.487410887332723"/>
    <n v="36.12587639000806"/>
    <n v="10.487410887332715"/>
  </r>
  <r>
    <d v="2016-09-22T00:00:00"/>
    <x v="9"/>
    <x v="3"/>
    <x v="3"/>
    <n v="41885.828280000002"/>
    <n v="37565.478589999999"/>
    <n v="1039"/>
    <n v="40.313597959576519"/>
    <x v="0"/>
    <n v="10.314585785720084"/>
    <n v="36.155417314725696"/>
    <n v="10.314585785720089"/>
  </r>
  <r>
    <d v="2016-09-23T00:00:00"/>
    <x v="9"/>
    <x v="3"/>
    <x v="4"/>
    <n v="147503.57320000001"/>
    <n v="131964.51579999999"/>
    <n v="3657"/>
    <n v="40.334583866557288"/>
    <x v="0"/>
    <n v="10.534698965516327"/>
    <n v="36.085456877221766"/>
    <n v="10.534698965516318"/>
  </r>
  <r>
    <d v="2016-09-24T00:00:00"/>
    <x v="9"/>
    <x v="3"/>
    <x v="5"/>
    <n v="151639.1838"/>
    <n v="135498.16320000001"/>
    <n v="3758"/>
    <n v="40.351033475252791"/>
    <x v="0"/>
    <n v="10.644359983689117"/>
    <n v="36.055924215007984"/>
    <n v="10.644359983689114"/>
  </r>
  <r>
    <d v="2016-09-25T00:00:00"/>
    <x v="9"/>
    <x v="3"/>
    <x v="6"/>
    <n v="72457.297590000002"/>
    <n v="64758.50417"/>
    <n v="1797"/>
    <n v="40.321256310517533"/>
    <x v="0"/>
    <n v="10.625283685797482"/>
    <n v="36.037008441847526"/>
    <n v="10.625283685797484"/>
  </r>
  <r>
    <d v="2016-09-26T00:00:00"/>
    <x v="9"/>
    <x v="3"/>
    <x v="0"/>
    <n v="67355.061180000004"/>
    <n v="60179.020850000001"/>
    <n v="1671"/>
    <n v="40.308235296229803"/>
    <x v="0"/>
    <n v="10.654047675530599"/>
    <n v="36.013776690604431"/>
    <n v="10.654047675530592"/>
  </r>
  <r>
    <d v="2016-09-27T00:00:00"/>
    <x v="9"/>
    <x v="3"/>
    <x v="1"/>
    <n v="58941.792829999999"/>
    <n v="52812.782509999997"/>
    <n v="1462"/>
    <n v="40.315863768809848"/>
    <x v="0"/>
    <n v="10.39841176476817"/>
    <n v="36.123654247606019"/>
    <n v="10.398411764768163"/>
  </r>
  <r>
    <d v="2016-09-28T00:00:00"/>
    <x v="9"/>
    <x v="3"/>
    <x v="2"/>
    <n v="58796.785020000003"/>
    <n v="57168.5605"/>
    <n v="1581"/>
    <n v="37.189617343453513"/>
    <x v="0"/>
    <n v="2.7692407322035635"/>
    <n v="36.159747311827957"/>
    <n v="2.7692407322035653"/>
  </r>
  <r>
    <d v="2016-09-29T00:00:00"/>
    <x v="9"/>
    <x v="3"/>
    <x v="3"/>
    <n v="57019.389669999997"/>
    <n v="55187.383909999997"/>
    <n v="1534"/>
    <n v="37.170397438070403"/>
    <x v="0"/>
    <n v="3.2129522441449168"/>
    <n v="35.976130319426332"/>
    <n v="3.2129522441449248"/>
  </r>
  <r>
    <d v="2016-09-30T00:00:00"/>
    <x v="9"/>
    <x v="3"/>
    <x v="4"/>
    <n v="155918.38260000001"/>
    <n v="151036.4455"/>
    <n v="4216"/>
    <n v="36.982538567362433"/>
    <x v="0"/>
    <n v="3.1310850065218734"/>
    <n v="35.824583847248576"/>
    <n v="3.1310850065218796"/>
  </r>
  <r>
    <d v="2016-10-01T00:00:00"/>
    <x v="10"/>
    <x v="3"/>
    <x v="5"/>
    <n v="208489.09030000001"/>
    <n v="201416.8376"/>
    <n v="5632"/>
    <n v="37.018659499289775"/>
    <x v="0"/>
    <n v="3.3921452148040823"/>
    <n v="35.762932812499997"/>
    <n v="3.3921452148040903"/>
  </r>
  <r>
    <d v="2016-10-02T00:00:00"/>
    <x v="10"/>
    <x v="3"/>
    <x v="6"/>
    <n v="118580.47259999999"/>
    <n v="113346.95729999999"/>
    <n v="3173"/>
    <n v="37.371721588402139"/>
    <x v="0"/>
    <n v="4.413471447068595"/>
    <n v="35.72233132682004"/>
    <n v="4.413471447068595"/>
  </r>
  <r>
    <d v="2016-10-03T00:00:00"/>
    <x v="10"/>
    <x v="3"/>
    <x v="0"/>
    <n v="142758.8811"/>
    <n v="126506.3447"/>
    <n v="3540"/>
    <n v="40.327367542372883"/>
    <x v="0"/>
    <n v="11.38460617985328"/>
    <n v="35.736255564971749"/>
    <n v="11.384606179853291"/>
  </r>
  <r>
    <d v="2016-10-04T00:00:00"/>
    <x v="10"/>
    <x v="3"/>
    <x v="1"/>
    <n v="96620.986929999999"/>
    <n v="85491.833240000007"/>
    <n v="2397"/>
    <n v="40.309130967876513"/>
    <x v="0"/>
    <n v="11.51836060012805"/>
    <n v="35.666179908218609"/>
    <n v="11.518360600128052"/>
  </r>
  <r>
    <d v="2016-10-05T00:00:00"/>
    <x v="10"/>
    <x v="3"/>
    <x v="2"/>
    <n v="78861.594939999995"/>
    <n v="69675.429149999996"/>
    <n v="1955"/>
    <n v="40.338411734015345"/>
    <x v="0"/>
    <n v="11.648465640327309"/>
    <n v="35.639605703324804"/>
    <n v="11.64846564032732"/>
  </r>
  <r>
    <d v="2016-10-06T00:00:00"/>
    <x v="10"/>
    <x v="3"/>
    <x v="3"/>
    <n v="70279.474390000003"/>
    <n v="61976.305789999999"/>
    <n v="1740"/>
    <n v="40.390502522988506"/>
    <x v="0"/>
    <n v="11.814500139718538"/>
    <n v="35.618566545977011"/>
    <n v="11.814500139718534"/>
  </r>
  <r>
    <d v="2016-10-07T00:00:00"/>
    <x v="10"/>
    <x v="3"/>
    <x v="4"/>
    <n v="87748.862890000004"/>
    <n v="77446.60944"/>
    <n v="2176"/>
    <n v="40.325764195772059"/>
    <x v="0"/>
    <n v="11.74061191301667"/>
    <n v="35.591272720588236"/>
    <n v="11.740611913016664"/>
  </r>
  <r>
    <d v="2016-10-08T00:00:00"/>
    <x v="10"/>
    <x v="3"/>
    <x v="5"/>
    <n v="92053.325769999996"/>
    <n v="81209.248349999994"/>
    <n v="2283"/>
    <n v="40.321211462987293"/>
    <x v="0"/>
    <n v="11.780212533650865"/>
    <n v="35.571287056504595"/>
    <n v="11.780212533650865"/>
  </r>
  <r>
    <d v="2016-10-09T00:00:00"/>
    <x v="10"/>
    <x v="3"/>
    <x v="6"/>
    <n v="51751.383249999999"/>
    <n v="45607.234100000001"/>
    <n v="1284"/>
    <n v="40.304815615264793"/>
    <x v="0"/>
    <n v="11.872434636807505"/>
    <n v="35.519652725856702"/>
    <n v="11.87243463680749"/>
  </r>
  <r>
    <d v="2016-10-10T00:00:00"/>
    <x v="10"/>
    <x v="3"/>
    <x v="0"/>
    <n v="50934.983189999999"/>
    <n v="44983.777300000002"/>
    <n v="1263"/>
    <n v="40.328569429928741"/>
    <x v="0"/>
    <n v="11.683926286577021"/>
    <n v="35.616609105304832"/>
    <n v="11.683926286577021"/>
  </r>
  <r>
    <d v="2016-10-11T00:00:00"/>
    <x v="10"/>
    <x v="3"/>
    <x v="1"/>
    <n v="36113.934869999997"/>
    <n v="31885.28845"/>
    <n v="896"/>
    <n v="40.305730881696427"/>
    <x v="0"/>
    <n v="11.709182162569475"/>
    <n v="35.586259430803572"/>
    <n v="11.709182162569475"/>
  </r>
  <r>
    <d v="2016-10-12T00:00:00"/>
    <x v="10"/>
    <x v="3"/>
    <x v="2"/>
    <n v="31023.359769999999"/>
    <n v="27817.642469999999"/>
    <n v="768"/>
    <n v="40.394999700520835"/>
    <x v="0"/>
    <n v="10.333237030954885"/>
    <n v="36.220888632812496"/>
    <n v="10.333237030954896"/>
  </r>
  <r>
    <d v="2016-10-13T00:00:00"/>
    <x v="10"/>
    <x v="3"/>
    <x v="3"/>
    <n v="22334.212530000001"/>
    <n v="19704.093150000001"/>
    <n v="521"/>
    <n v="42.867970307101729"/>
    <x v="1"/>
    <n v="11.776190346837359"/>
    <n v="37.819756525911707"/>
    <n v="11.776190346837364"/>
  </r>
  <r>
    <d v="2016-10-14T00:00:00"/>
    <x v="10"/>
    <x v="3"/>
    <x v="4"/>
    <n v="69440.928799999994"/>
    <n v="62070.751179999999"/>
    <n v="1618"/>
    <n v="42.917755747836829"/>
    <x v="1"/>
    <n v="10.613593088921926"/>
    <n v="38.362639789864026"/>
    <n v="10.613593088921926"/>
  </r>
  <r>
    <d v="2016-10-15T00:00:00"/>
    <x v="10"/>
    <x v="3"/>
    <x v="5"/>
    <n v="92159.029790000001"/>
    <n v="83371.817020000002"/>
    <n v="2147"/>
    <n v="42.924559753143924"/>
    <x v="1"/>
    <n v="9.5348364560945953"/>
    <n v="38.831773181183046"/>
    <n v="9.5348364560946042"/>
  </r>
  <r>
    <d v="2016-10-16T00:00:00"/>
    <x v="10"/>
    <x v="3"/>
    <x v="6"/>
    <n v="57296.287850000001"/>
    <n v="52701.294609999997"/>
    <n v="1335"/>
    <n v="42.918567677902622"/>
    <x v="1"/>
    <n v="8.0197049624393841"/>
    <n v="39.476625176029962"/>
    <n v="8.0197049624393788"/>
  </r>
  <r>
    <d v="2016-10-17T00:00:00"/>
    <x v="10"/>
    <x v="3"/>
    <x v="0"/>
    <n v="57184.941270000003"/>
    <n v="51764.93737"/>
    <n v="1332"/>
    <n v="42.931637590090091"/>
    <x v="2"/>
    <n v="9.478026521718947"/>
    <n v="38.862565593093095"/>
    <n v="9.4780265217189381"/>
  </r>
  <r>
    <d v="2016-10-18T00:00:00"/>
    <x v="10"/>
    <x v="3"/>
    <x v="1"/>
    <n v="40951.10428"/>
    <n v="37288.62455"/>
    <n v="954"/>
    <n v="42.925685828092242"/>
    <x v="1"/>
    <n v="8.9435432679863229"/>
    <n v="39.08660854297694"/>
    <n v="8.9435432679863212"/>
  </r>
  <r>
    <d v="2016-10-19T00:00:00"/>
    <x v="10"/>
    <x v="3"/>
    <x v="2"/>
    <n v="37672.447289999996"/>
    <n v="33678.459269999999"/>
    <n v="877"/>
    <n v="42.956040239452676"/>
    <x v="2"/>
    <n v="10.601880969543982"/>
    <n v="38.401891984036489"/>
    <n v="10.601880969543979"/>
  </r>
  <r>
    <d v="2016-10-20T00:00:00"/>
    <x v="10"/>
    <x v="3"/>
    <x v="3"/>
    <n v="38648.137519999997"/>
    <n v="35038.06869"/>
    <n v="906"/>
    <n v="42.657988432671075"/>
    <x v="0"/>
    <n v="9.3408610651207304"/>
    <n v="38.673364999999997"/>
    <n v="9.3408610651207322"/>
  </r>
  <r>
    <d v="2016-10-21T00:00:00"/>
    <x v="10"/>
    <x v="3"/>
    <x v="4"/>
    <n v="96020.545370000007"/>
    <n v="86810.277530000007"/>
    <n v="2249"/>
    <n v="42.694773397065369"/>
    <x v="0"/>
    <n v="9.5919761802119403"/>
    <n v="38.59950090262339"/>
    <n v="9.591976180211951"/>
  </r>
  <r>
    <d v="2016-10-22T00:00:00"/>
    <x v="10"/>
    <x v="3"/>
    <x v="5"/>
    <n v="105662.59420000001"/>
    <n v="95930.016510000001"/>
    <n v="2472"/>
    <n v="42.743767880258901"/>
    <x v="1"/>
    <n v="9.2109963451947934"/>
    <n v="38.806640983009707"/>
    <n v="9.2109963451947934"/>
  </r>
  <r>
    <d v="2016-10-23T00:00:00"/>
    <x v="10"/>
    <x v="3"/>
    <x v="6"/>
    <n v="54738.483520000002"/>
    <n v="49990.519289999997"/>
    <n v="1280"/>
    <n v="42.76444025"/>
    <x v="1"/>
    <n v="8.6739053124575936"/>
    <n v="39.055093195312494"/>
    <n v="8.6739053124575989"/>
  </r>
  <r>
    <d v="2016-10-24T00:00:00"/>
    <x v="10"/>
    <x v="3"/>
    <x v="0"/>
    <n v="40131.573510000002"/>
    <n v="36347.69872"/>
    <n v="940"/>
    <n v="42.693163308510641"/>
    <x v="0"/>
    <n v="9.4286728853458346"/>
    <n v="38.667764595744679"/>
    <n v="9.4286728853458435"/>
  </r>
  <r>
    <d v="2016-10-25T00:00:00"/>
    <x v="10"/>
    <x v="3"/>
    <x v="1"/>
    <n v="70402.991930000004"/>
    <n v="63452.761039999998"/>
    <n v="1650"/>
    <n v="42.668479957575762"/>
    <x v="0"/>
    <n v="9.8720675066060437"/>
    <n v="38.456218812121207"/>
    <n v="9.8720675066060561"/>
  </r>
  <r>
    <d v="2016-10-26T00:00:00"/>
    <x v="10"/>
    <x v="3"/>
    <x v="2"/>
    <n v="62501.740700000002"/>
    <n v="56100.87429"/>
    <n v="1467"/>
    <n v="42.605140218132242"/>
    <x v="0"/>
    <n v="10.241101029047023"/>
    <n v="38.241904764826174"/>
    <n v="10.241101029047023"/>
  </r>
  <r>
    <d v="2016-10-27T00:00:00"/>
    <x v="10"/>
    <x v="3"/>
    <x v="3"/>
    <n v="53675.218280000001"/>
    <n v="48201.940979999999"/>
    <n v="1257"/>
    <n v="42.701048750994431"/>
    <x v="0"/>
    <n v="10.197028489848559"/>
    <n v="38.346810644391411"/>
    <n v="10.197028489848549"/>
  </r>
  <r>
    <d v="2016-10-28T00:00:00"/>
    <x v="10"/>
    <x v="3"/>
    <x v="4"/>
    <n v="102606.327"/>
    <n v="92657.699529999998"/>
    <n v="2405"/>
    <n v="42.663753430353431"/>
    <x v="0"/>
    <n v="9.6959200868772992"/>
    <n v="38.527109991683993"/>
    <n v="9.6959200868772921"/>
  </r>
  <r>
    <d v="2016-10-29T00:00:00"/>
    <x v="10"/>
    <x v="3"/>
    <x v="5"/>
    <n v="124988.15549999999"/>
    <n v="113187.84600000001"/>
    <n v="2929"/>
    <n v="42.672637589621026"/>
    <x v="0"/>
    <n v="9.4411422048707561"/>
    <n v="38.643853192215772"/>
    <n v="9.4411422048707561"/>
  </r>
  <r>
    <d v="2016-10-30T00:00:00"/>
    <x v="10"/>
    <x v="3"/>
    <x v="6"/>
    <n v="67521.037490000002"/>
    <n v="61233.718869999997"/>
    <n v="1582"/>
    <n v="42.680807515802783"/>
    <x v="0"/>
    <n v="9.3116439760440137"/>
    <n v="38.706522673830591"/>
    <n v="9.3116439760440173"/>
  </r>
  <r>
    <d v="2016-10-31T00:00:00"/>
    <x v="10"/>
    <x v="3"/>
    <x v="0"/>
    <n v="70020.596009999994"/>
    <n v="62316.151339999997"/>
    <n v="1639"/>
    <n v="42.721535088468578"/>
    <x v="0"/>
    <n v="11.003112097045969"/>
    <n v="38.020836693105551"/>
    <n v="11.003112097045975"/>
  </r>
  <r>
    <d v="2016-11-01T00:00:00"/>
    <x v="11"/>
    <x v="3"/>
    <x v="1"/>
    <n v="126954.17019999999"/>
    <n v="110698.7429"/>
    <n v="2971"/>
    <n v="42.731124267923256"/>
    <x v="0"/>
    <n v="12.804169626245171"/>
    <n v="37.259758633456748"/>
    <n v="12.804169626245171"/>
  </r>
  <r>
    <d v="2016-11-02T00:00:00"/>
    <x v="11"/>
    <x v="3"/>
    <x v="2"/>
    <n v="97558.247050000005"/>
    <n v="86203.875199999995"/>
    <n v="2284"/>
    <n v="42.713768410683016"/>
    <x v="0"/>
    <n v="11.638556650347285"/>
    <n v="37.742502276707526"/>
    <n v="11.638556650347295"/>
  </r>
  <r>
    <d v="2016-11-03T00:00:00"/>
    <x v="11"/>
    <x v="3"/>
    <x v="3"/>
    <n v="97039.009869999994"/>
    <n v="89413.415970000002"/>
    <n v="2266"/>
    <n v="42.823923155339806"/>
    <x v="0"/>
    <n v="7.8582766973980398"/>
    <n v="39.458700781112093"/>
    <n v="7.8582766973980434"/>
  </r>
  <r>
    <d v="2016-11-04T00:00:00"/>
    <x v="11"/>
    <x v="3"/>
    <x v="4"/>
    <n v="168349.2653"/>
    <n v="156675.5901"/>
    <n v="3938"/>
    <n v="42.749940401218893"/>
    <x v="0"/>
    <n v="6.934200264668454"/>
    <n v="39.785573920771967"/>
    <n v="6.934200264668454"/>
  </r>
  <r>
    <d v="2016-11-05T00:00:00"/>
    <x v="11"/>
    <x v="3"/>
    <x v="5"/>
    <n v="202017.42199999999"/>
    <n v="189394.6937"/>
    <n v="4720"/>
    <n v="42.800301271186441"/>
    <x v="0"/>
    <n v="6.2483364924833005"/>
    <n v="40.125994427966106"/>
    <n v="6.2483364924832996"/>
  </r>
  <r>
    <d v="2016-11-06T00:00:00"/>
    <x v="11"/>
    <x v="3"/>
    <x v="6"/>
    <n v="108459.0001"/>
    <n v="102250.1678"/>
    <n v="2537"/>
    <n v="42.750886913677576"/>
    <x v="0"/>
    <n v="5.7245892865280146"/>
    <n v="40.30357422152148"/>
    <n v="5.7245892865280208"/>
  </r>
  <r>
    <d v="2016-11-07T00:00:00"/>
    <x v="11"/>
    <x v="3"/>
    <x v="0"/>
    <n v="112536.3771"/>
    <n v="105978.4825"/>
    <n v="2621"/>
    <n v="42.936427737504765"/>
    <x v="1"/>
    <n v="5.8273553574349064"/>
    <n v="40.434369515452119"/>
    <n v="5.8273553574348957"/>
  </r>
  <r>
    <d v="2016-11-08T00:00:00"/>
    <x v="11"/>
    <x v="3"/>
    <x v="1"/>
    <n v="100479.93"/>
    <n v="94692.479290000003"/>
    <n v="2341"/>
    <n v="42.921798376762062"/>
    <x v="0"/>
    <n v="5.7598076650730059"/>
    <n v="40.44958534387014"/>
    <n v="5.759807665073005"/>
  </r>
  <r>
    <d v="2016-11-09T00:00:00"/>
    <x v="11"/>
    <x v="3"/>
    <x v="2"/>
    <n v="81649.688670000003"/>
    <n v="77081.660569999993"/>
    <n v="1901"/>
    <n v="42.950914608101002"/>
    <x v="2"/>
    <n v="5.5946668926839527"/>
    <n v="40.547954008416617"/>
    <n v="5.5946668926839571"/>
  </r>
  <r>
    <d v="2016-11-10T00:00:00"/>
    <x v="11"/>
    <x v="3"/>
    <x v="3"/>
    <n v="71529.162639999995"/>
    <n v="67551.250969999994"/>
    <n v="1666"/>
    <n v="42.934671452581028"/>
    <x v="0"/>
    <n v="5.561244565409611"/>
    <n v="40.546969369747899"/>
    <n v="5.5612445654096003"/>
  </r>
  <r>
    <d v="2016-11-11T00:00:00"/>
    <x v="11"/>
    <x v="3"/>
    <x v="4"/>
    <n v="160938.60159999999"/>
    <n v="152555.4173"/>
    <n v="3748"/>
    <n v="42.939861686232653"/>
    <x v="1"/>
    <n v="5.2089332308452185"/>
    <n v="40.703152961579512"/>
    <n v="5.2089332308452061"/>
  </r>
  <r>
    <d v="2016-11-12T00:00:00"/>
    <x v="11"/>
    <x v="3"/>
    <x v="5"/>
    <n v="164998.84460000001"/>
    <n v="156263.1495"/>
    <n v="3843"/>
    <n v="42.934906219099666"/>
    <x v="0"/>
    <n v="5.2943977402857589"/>
    <n v="40.661761514441842"/>
    <n v="5.2943977402857625"/>
  </r>
  <r>
    <d v="2016-11-13T00:00:00"/>
    <x v="11"/>
    <x v="3"/>
    <x v="6"/>
    <n v="97946.783049999998"/>
    <n v="93112.608909999995"/>
    <n v="2281"/>
    <n v="42.94028191582639"/>
    <x v="1"/>
    <n v="4.9355108860821364"/>
    <n v="40.820959627356423"/>
    <n v="4.9355108860821266"/>
  </r>
  <r>
    <d v="2016-11-14T00:00:00"/>
    <x v="11"/>
    <x v="3"/>
    <x v="0"/>
    <n v="87834.253679999994"/>
    <n v="83068.269029999996"/>
    <n v="2046"/>
    <n v="42.929742756598237"/>
    <x v="0"/>
    <n v="5.4261116253842792"/>
    <n v="40.600326994134896"/>
    <n v="5.4261116253842765"/>
  </r>
  <r>
    <d v="2016-11-15T00:00:00"/>
    <x v="11"/>
    <x v="3"/>
    <x v="1"/>
    <n v="95509.134980000003"/>
    <n v="88104.204530000003"/>
    <n v="2181"/>
    <n v="43.791441989912883"/>
    <x v="0"/>
    <n v="7.7531122562785448"/>
    <n v="40.396242333791839"/>
    <n v="7.7531122562785422"/>
  </r>
  <r>
    <d v="2016-11-16T00:00:00"/>
    <x v="11"/>
    <x v="3"/>
    <x v="2"/>
    <n v="77229.971890000001"/>
    <n v="71428.87"/>
    <n v="1763"/>
    <n v="43.805996534316506"/>
    <x v="1"/>
    <n v="7.5114644587241539"/>
    <n v="40.515524673851388"/>
    <n v="7.51146445872415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9201B-0C53-4734-8581-FFC629D331AE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2:G9" firstHeaderRow="1" firstDataRow="1" firstDataCol="1"/>
  <pivotFields count="12">
    <pivotField numFmtId="14" showAll="0"/>
    <pivotField showAll="0"/>
    <pivotField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2" showAll="0"/>
    <pivotField showAll="0"/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daily % gross profit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593CD-9E5B-41EB-BB27-91CA2D1A989B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" colHeaderCaption="year">
  <location ref="A3:D16" firstHeaderRow="1" firstDataRow="2" firstDataCol="1"/>
  <pivotFields count="12">
    <pivotField numFmtId="14"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Col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"/>
  </colFields>
  <colItems count="3">
    <i>
      <x v="1"/>
    </i>
    <i>
      <x v="2"/>
    </i>
    <i>
      <x v="3"/>
    </i>
  </colItems>
  <dataFields count="1">
    <dataField name="Average of daily % gross profit" fld="9" subtotal="average" baseField="1" baseItem="0"/>
  </dataField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02EC7-345F-4CEF-A856-0BBB3C7A525F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ice flag">
  <location ref="A20:B23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Average of daily % gross profit" fld="9" subtotal="average" baseField="8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AF98-20F4-4890-8A6F-0EAE14313312}">
  <dimension ref="A2:G25"/>
  <sheetViews>
    <sheetView zoomScale="124" workbookViewId="0">
      <selection activeCell="E83" sqref="E83"/>
    </sheetView>
  </sheetViews>
  <sheetFormatPr defaultRowHeight="15" x14ac:dyDescent="0.25"/>
  <cols>
    <col min="1" max="2" width="28.42578125" bestFit="1" customWidth="1"/>
    <col min="3" max="4" width="15.28515625" bestFit="1" customWidth="1"/>
    <col min="5" max="5" width="12.7109375" bestFit="1" customWidth="1"/>
    <col min="6" max="6" width="13.42578125" bestFit="1" customWidth="1"/>
    <col min="7" max="7" width="28.42578125" bestFit="1" customWidth="1"/>
    <col min="12" max="12" width="14.28515625" customWidth="1"/>
  </cols>
  <sheetData>
    <row r="2" spans="1:7" x14ac:dyDescent="0.25">
      <c r="F2" s="5" t="s">
        <v>10</v>
      </c>
      <c r="G2" t="s">
        <v>26</v>
      </c>
    </row>
    <row r="3" spans="1:7" x14ac:dyDescent="0.25">
      <c r="A3" s="5" t="s">
        <v>26</v>
      </c>
      <c r="B3" s="5" t="s">
        <v>9</v>
      </c>
      <c r="F3" s="6" t="s">
        <v>28</v>
      </c>
      <c r="G3">
        <v>-1.1511582863213929</v>
      </c>
    </row>
    <row r="4" spans="1:7" x14ac:dyDescent="0.25">
      <c r="A4" s="5" t="s">
        <v>8</v>
      </c>
      <c r="B4" t="s">
        <v>23</v>
      </c>
      <c r="C4" t="s">
        <v>24</v>
      </c>
      <c r="D4" t="s">
        <v>25</v>
      </c>
      <c r="F4" s="6" t="s">
        <v>29</v>
      </c>
      <c r="G4">
        <v>-0.42137865214315623</v>
      </c>
    </row>
    <row r="5" spans="1:7" x14ac:dyDescent="0.25">
      <c r="A5" s="6" t="s">
        <v>11</v>
      </c>
      <c r="B5">
        <v>1.011011912082332</v>
      </c>
      <c r="C5">
        <v>-3.2799074437715658</v>
      </c>
      <c r="D5">
        <v>-1.3451492941779559</v>
      </c>
      <c r="F5" s="6" t="s">
        <v>30</v>
      </c>
      <c r="G5">
        <v>-0.41855288079800984</v>
      </c>
    </row>
    <row r="6" spans="1:7" x14ac:dyDescent="0.25">
      <c r="A6" s="6" t="s">
        <v>12</v>
      </c>
      <c r="B6">
        <v>-1.5519653262411455</v>
      </c>
      <c r="C6">
        <v>-4.1530709552260854</v>
      </c>
      <c r="D6">
        <v>3.5103957964679293</v>
      </c>
      <c r="F6" s="6" t="s">
        <v>31</v>
      </c>
      <c r="G6">
        <v>-0.96822122222713058</v>
      </c>
    </row>
    <row r="7" spans="1:7" x14ac:dyDescent="0.25">
      <c r="A7" s="6" t="s">
        <v>13</v>
      </c>
      <c r="B7">
        <v>-0.32285623693852306</v>
      </c>
      <c r="C7">
        <v>-3.8400227155278328</v>
      </c>
      <c r="D7">
        <v>2.1847313618197286</v>
      </c>
      <c r="F7" s="6" t="s">
        <v>32</v>
      </c>
      <c r="G7">
        <v>-0.55248024792884598</v>
      </c>
    </row>
    <row r="8" spans="1:7" x14ac:dyDescent="0.25">
      <c r="A8" s="6" t="s">
        <v>14</v>
      </c>
      <c r="B8">
        <v>-6.1283739403400171E-2</v>
      </c>
      <c r="C8">
        <v>-2.4424228338812433</v>
      </c>
      <c r="D8">
        <v>-6.3200950762480819</v>
      </c>
      <c r="F8" s="6" t="s">
        <v>33</v>
      </c>
      <c r="G8">
        <v>-1.1043695250107122</v>
      </c>
    </row>
    <row r="9" spans="1:7" x14ac:dyDescent="0.25">
      <c r="A9" s="6" t="s">
        <v>15</v>
      </c>
      <c r="B9">
        <v>-3.2952100504660127</v>
      </c>
      <c r="C9">
        <v>-6.678641138149727</v>
      </c>
      <c r="D9">
        <v>3.0863337004272831</v>
      </c>
      <c r="F9" s="6" t="s">
        <v>34</v>
      </c>
      <c r="G9">
        <v>-1.5141209391169976</v>
      </c>
    </row>
    <row r="10" spans="1:7" x14ac:dyDescent="0.25">
      <c r="A10" s="6" t="s">
        <v>16</v>
      </c>
      <c r="B10">
        <v>-1.7892063789817414</v>
      </c>
      <c r="C10">
        <v>-1.206253932525752</v>
      </c>
      <c r="D10">
        <v>-4.5587001015434172</v>
      </c>
    </row>
    <row r="11" spans="1:7" x14ac:dyDescent="0.25">
      <c r="A11" s="6" t="s">
        <v>17</v>
      </c>
      <c r="B11">
        <v>0.41082198492542343</v>
      </c>
      <c r="C11">
        <v>-3.4228624847147384</v>
      </c>
      <c r="D11">
        <v>9.9923580662692828</v>
      </c>
    </row>
    <row r="12" spans="1:7" x14ac:dyDescent="0.25">
      <c r="A12" s="6" t="s">
        <v>18</v>
      </c>
      <c r="B12">
        <v>-4.3119806848659525</v>
      </c>
      <c r="C12">
        <v>-5.0005851000762762</v>
      </c>
      <c r="D12">
        <v>0.88305399500044723</v>
      </c>
    </row>
    <row r="13" spans="1:7" x14ac:dyDescent="0.25">
      <c r="A13" s="6" t="s">
        <v>19</v>
      </c>
      <c r="B13">
        <v>-3.8749998189524733</v>
      </c>
      <c r="C13">
        <v>-2.5509139032108101</v>
      </c>
      <c r="D13">
        <v>6.5234332380911537</v>
      </c>
    </row>
    <row r="14" spans="1:7" x14ac:dyDescent="0.25">
      <c r="A14" s="6" t="s">
        <v>20</v>
      </c>
      <c r="B14">
        <v>1.4312271318598286</v>
      </c>
      <c r="C14">
        <v>-2.6707501668057141</v>
      </c>
      <c r="D14">
        <v>9.9441082766996551</v>
      </c>
    </row>
    <row r="15" spans="1:7" x14ac:dyDescent="0.25">
      <c r="A15" s="6" t="s">
        <v>21</v>
      </c>
      <c r="B15">
        <v>5.9540100480188132</v>
      </c>
      <c r="C15">
        <v>-8.1156111321770741</v>
      </c>
      <c r="D15">
        <v>6.8800458559919901</v>
      </c>
    </row>
    <row r="16" spans="1:7" x14ac:dyDescent="0.25">
      <c r="A16" s="6" t="s">
        <v>22</v>
      </c>
      <c r="B16">
        <v>-4.3542755854239026</v>
      </c>
      <c r="C16">
        <v>-3.8174292307118036</v>
      </c>
    </row>
    <row r="20" spans="1:2" x14ac:dyDescent="0.25">
      <c r="A20" s="5" t="s">
        <v>35</v>
      </c>
      <c r="B20" t="s">
        <v>26</v>
      </c>
    </row>
    <row r="21" spans="1:2" x14ac:dyDescent="0.25">
      <c r="A21" s="6" t="s">
        <v>36</v>
      </c>
      <c r="B21">
        <v>3.2073824237192152</v>
      </c>
    </row>
    <row r="22" spans="1:2" x14ac:dyDescent="0.25">
      <c r="A22" s="6" t="s">
        <v>37</v>
      </c>
      <c r="B22">
        <v>-2.2099604038609506</v>
      </c>
    </row>
    <row r="23" spans="1:2" x14ac:dyDescent="0.25">
      <c r="A23" s="6" t="s">
        <v>38</v>
      </c>
      <c r="B23">
        <v>-0.42897938555872994</v>
      </c>
    </row>
    <row r="25" spans="1:2" x14ac:dyDescent="0.25">
      <c r="A25" s="6"/>
    </row>
  </sheetData>
  <conditionalFormatting pivot="1" sqref="B5:D16">
    <cfRule type="iconSet" priority="3">
      <iconSet>
        <cfvo type="percent" val="0"/>
        <cfvo type="num" val="0"/>
        <cfvo type="num" val="5" gte="0"/>
      </iconSet>
    </cfRule>
  </conditionalFormatting>
  <conditionalFormatting pivot="1" sqref="B21:B23">
    <cfRule type="iconSet" priority="2">
      <iconSet>
        <cfvo type="percent" val="0"/>
        <cfvo type="percent" val="33"/>
        <cfvo type="percent" val="67"/>
      </iconSet>
    </cfRule>
  </conditionalFormatting>
  <conditionalFormatting sqref="B2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0416-E3FB-4A94-9324-BB26C26C7611}">
  <dimension ref="A1:Z1054"/>
  <sheetViews>
    <sheetView tabSelected="1" topLeftCell="A1036" zoomScaleNormal="100" workbookViewId="0">
      <selection activeCell="C1044" sqref="C1044"/>
    </sheetView>
  </sheetViews>
  <sheetFormatPr defaultRowHeight="15" x14ac:dyDescent="0.25"/>
  <cols>
    <col min="1" max="1" width="12" bestFit="1" customWidth="1"/>
    <col min="2" max="2" width="12.42578125" bestFit="1" customWidth="1"/>
    <col min="3" max="3" width="12.7109375" bestFit="1" customWidth="1"/>
    <col min="9" max="9" width="5" bestFit="1" customWidth="1"/>
    <col min="10" max="10" width="6.85546875" bestFit="1" customWidth="1"/>
    <col min="11" max="11" width="12.5703125" style="9" bestFit="1" customWidth="1"/>
    <col min="12" max="12" width="12.7109375" bestFit="1" customWidth="1"/>
    <col min="13" max="13" width="12" bestFit="1" customWidth="1"/>
    <col min="14" max="14" width="13.5703125" bestFit="1" customWidth="1"/>
    <col min="15" max="16" width="14" bestFit="1" customWidth="1"/>
    <col min="17" max="17" width="12.7109375" bestFit="1" customWidth="1"/>
    <col min="18" max="18" width="6.85546875" bestFit="1" customWidth="1"/>
    <col min="19" max="20" width="12" bestFit="1" customWidth="1"/>
    <col min="21" max="21" width="13.140625" bestFit="1" customWidth="1"/>
    <col min="22" max="22" width="13.7109375" bestFit="1" customWidth="1"/>
    <col min="23" max="23" width="13.140625" bestFit="1" customWidth="1"/>
    <col min="24" max="24" width="12.7109375" bestFit="1" customWidth="1"/>
    <col min="25" max="25" width="13.42578125" bestFit="1" customWidth="1"/>
    <col min="26" max="26" width="15.42578125" customWidth="1"/>
  </cols>
  <sheetData>
    <row r="1" spans="1:26" x14ac:dyDescent="0.25">
      <c r="A1" t="s">
        <v>0</v>
      </c>
      <c r="B1" t="s">
        <v>1</v>
      </c>
      <c r="C1" t="s">
        <v>2</v>
      </c>
      <c r="I1" s="7" t="s">
        <v>9</v>
      </c>
      <c r="J1" s="7" t="s">
        <v>8</v>
      </c>
      <c r="K1" s="8" t="s">
        <v>7</v>
      </c>
      <c r="L1" s="7" t="s">
        <v>39</v>
      </c>
      <c r="M1" s="7" t="s">
        <v>40</v>
      </c>
      <c r="N1" s="7" t="s">
        <v>41</v>
      </c>
      <c r="O1" s="7" t="s">
        <v>42</v>
      </c>
      <c r="R1" s="7" t="s">
        <v>8</v>
      </c>
      <c r="S1" s="7">
        <v>2014</v>
      </c>
      <c r="T1" s="7">
        <v>2015</v>
      </c>
      <c r="U1" s="7">
        <v>2016</v>
      </c>
      <c r="X1" t="s">
        <v>9</v>
      </c>
      <c r="Y1" t="s">
        <v>54</v>
      </c>
      <c r="Z1" t="s">
        <v>55</v>
      </c>
    </row>
    <row r="2" spans="1:26" x14ac:dyDescent="0.25">
      <c r="A2">
        <v>223937.96789999999</v>
      </c>
      <c r="B2">
        <v>230079.62100000001</v>
      </c>
      <c r="C2">
        <v>6827</v>
      </c>
      <c r="I2">
        <v>2014</v>
      </c>
      <c r="J2">
        <v>1</v>
      </c>
      <c r="K2" s="9">
        <f>DATE(I2,J2,1)</f>
        <v>41640</v>
      </c>
      <c r="L2" t="s">
        <v>43</v>
      </c>
      <c r="M2">
        <v>4008180.46875</v>
      </c>
      <c r="N2">
        <v>119965</v>
      </c>
      <c r="O2">
        <v>33.411248853832397</v>
      </c>
      <c r="R2" t="s">
        <v>11</v>
      </c>
      <c r="S2">
        <v>33.411248853832397</v>
      </c>
      <c r="T2">
        <v>40.2898574606224</v>
      </c>
      <c r="U2">
        <v>35.8863883191447</v>
      </c>
      <c r="X2">
        <v>2014</v>
      </c>
      <c r="Y2">
        <f>_xlfn.STDEV.S(S2:S13)</f>
        <v>2.4050819145165314</v>
      </c>
      <c r="Z2">
        <f>_xlfn.STDEV.S(N2:N13)</f>
        <v>65414.553694113056</v>
      </c>
    </row>
    <row r="3" spans="1:26" x14ac:dyDescent="0.25">
      <c r="A3">
        <v>300345.48460000003</v>
      </c>
      <c r="B3">
        <v>306986.12050000002</v>
      </c>
      <c r="C3">
        <v>9268</v>
      </c>
      <c r="I3">
        <v>2014</v>
      </c>
      <c r="J3">
        <v>2</v>
      </c>
      <c r="K3" s="9">
        <f t="shared" ref="K3:K36" si="0">DATE(I3,J3,1)</f>
        <v>41671</v>
      </c>
      <c r="L3" t="s">
        <v>44</v>
      </c>
      <c r="M3">
        <v>5780487.2109375</v>
      </c>
      <c r="N3">
        <v>178035</v>
      </c>
      <c r="O3">
        <v>32.468263043432501</v>
      </c>
      <c r="R3" t="s">
        <v>12</v>
      </c>
      <c r="S3">
        <v>32.468263043432501</v>
      </c>
      <c r="T3">
        <v>38.367043392572</v>
      </c>
      <c r="U3">
        <v>36.783835896965897</v>
      </c>
      <c r="X3">
        <v>2015</v>
      </c>
      <c r="Y3">
        <f>_xlfn.STDEV.S(T2:T13)</f>
        <v>1.7797206424125995</v>
      </c>
      <c r="Z3">
        <f>_xlfn.STDEV.S(N14:N25)</f>
        <v>38662.784590160481</v>
      </c>
    </row>
    <row r="4" spans="1:26" x14ac:dyDescent="0.25">
      <c r="A4">
        <v>86782.467730000004</v>
      </c>
      <c r="B4">
        <v>87986.318209999998</v>
      </c>
      <c r="C4">
        <v>2678</v>
      </c>
      <c r="I4">
        <v>2014</v>
      </c>
      <c r="J4">
        <v>3</v>
      </c>
      <c r="K4" s="9">
        <f t="shared" si="0"/>
        <v>41699</v>
      </c>
      <c r="L4" t="s">
        <v>45</v>
      </c>
      <c r="M4">
        <v>8279517.171875</v>
      </c>
      <c r="N4">
        <v>252836</v>
      </c>
      <c r="O4">
        <v>32.746591355166998</v>
      </c>
      <c r="R4" t="s">
        <v>13</v>
      </c>
      <c r="S4">
        <v>32.746591355166998</v>
      </c>
      <c r="T4">
        <v>38.554455622407097</v>
      </c>
      <c r="U4">
        <v>39.790469560895097</v>
      </c>
      <c r="X4">
        <v>2016</v>
      </c>
      <c r="Y4">
        <f>_xlfn.STDEV.S(U2:U12)</f>
        <v>2.7983126331146599</v>
      </c>
      <c r="Z4">
        <f>_xlfn.STDEV.S(N26:N36)</f>
        <v>51524.567425646572</v>
      </c>
    </row>
    <row r="5" spans="1:26" x14ac:dyDescent="0.25">
      <c r="A5">
        <v>200173.11679999999</v>
      </c>
      <c r="B5">
        <v>202881.1777</v>
      </c>
      <c r="C5">
        <v>6175</v>
      </c>
      <c r="I5">
        <v>2014</v>
      </c>
      <c r="J5">
        <v>4</v>
      </c>
      <c r="K5" s="9">
        <f t="shared" si="0"/>
        <v>41730</v>
      </c>
      <c r="L5" t="s">
        <v>46</v>
      </c>
      <c r="M5">
        <v>6435743.2578125</v>
      </c>
      <c r="N5">
        <v>190091</v>
      </c>
      <c r="O5">
        <v>33.856117637407898</v>
      </c>
      <c r="R5" t="s">
        <v>14</v>
      </c>
      <c r="S5">
        <v>33.856117637407898</v>
      </c>
      <c r="T5">
        <v>38.802318442302301</v>
      </c>
      <c r="U5">
        <v>34.992931049918496</v>
      </c>
    </row>
    <row r="6" spans="1:26" x14ac:dyDescent="0.25">
      <c r="A6">
        <v>326906.07419999997</v>
      </c>
      <c r="B6">
        <v>333806.29190000001</v>
      </c>
      <c r="C6">
        <v>10084</v>
      </c>
      <c r="I6">
        <v>2014</v>
      </c>
      <c r="J6">
        <v>5</v>
      </c>
      <c r="K6" s="9">
        <f t="shared" si="0"/>
        <v>41760</v>
      </c>
      <c r="L6" t="s">
        <v>15</v>
      </c>
      <c r="M6">
        <v>7694906.1875</v>
      </c>
      <c r="N6">
        <v>235793</v>
      </c>
      <c r="O6">
        <v>32.634158721844997</v>
      </c>
      <c r="R6" t="s">
        <v>15</v>
      </c>
      <c r="S6">
        <v>32.634158721844997</v>
      </c>
      <c r="T6">
        <v>37.976977409126903</v>
      </c>
      <c r="U6">
        <v>35.340413942133502</v>
      </c>
    </row>
    <row r="7" spans="1:26" x14ac:dyDescent="0.25">
      <c r="A7">
        <v>307043.93540000002</v>
      </c>
      <c r="B7">
        <v>313652.34830000001</v>
      </c>
      <c r="C7">
        <v>9470</v>
      </c>
      <c r="I7">
        <v>2014</v>
      </c>
      <c r="J7">
        <v>6</v>
      </c>
      <c r="K7" s="9">
        <f t="shared" si="0"/>
        <v>41791</v>
      </c>
      <c r="L7" t="s">
        <v>47</v>
      </c>
      <c r="M7">
        <v>6456943.640625</v>
      </c>
      <c r="N7">
        <v>198857</v>
      </c>
      <c r="O7">
        <v>32.470285886969002</v>
      </c>
      <c r="R7" t="s">
        <v>16</v>
      </c>
      <c r="S7">
        <v>32.470285886969002</v>
      </c>
      <c r="T7">
        <v>39.039897913143101</v>
      </c>
      <c r="U7">
        <v>34.289609559760002</v>
      </c>
    </row>
    <row r="8" spans="1:26" x14ac:dyDescent="0.25">
      <c r="A8">
        <v>179188.88449999999</v>
      </c>
      <c r="B8">
        <v>183083.285</v>
      </c>
      <c r="C8">
        <v>5524</v>
      </c>
      <c r="I8">
        <v>2014</v>
      </c>
      <c r="J8">
        <v>7</v>
      </c>
      <c r="K8" s="9">
        <f t="shared" si="0"/>
        <v>41821</v>
      </c>
      <c r="L8" t="s">
        <v>48</v>
      </c>
      <c r="M8">
        <v>4933710.81640625</v>
      </c>
      <c r="N8">
        <v>147449</v>
      </c>
      <c r="O8">
        <v>33.460456268989603</v>
      </c>
      <c r="R8" t="s">
        <v>17</v>
      </c>
      <c r="S8">
        <v>33.460456268989603</v>
      </c>
      <c r="T8">
        <v>38.469585553412699</v>
      </c>
      <c r="U8">
        <v>36.676397051118002</v>
      </c>
    </row>
    <row r="9" spans="1:26" x14ac:dyDescent="0.25">
      <c r="A9">
        <v>306351.9509</v>
      </c>
      <c r="B9">
        <v>313446.06809999997</v>
      </c>
      <c r="C9">
        <v>9448</v>
      </c>
      <c r="I9">
        <v>2014</v>
      </c>
      <c r="J9">
        <v>8</v>
      </c>
      <c r="K9" s="9">
        <f t="shared" si="0"/>
        <v>41852</v>
      </c>
      <c r="L9" t="s">
        <v>49</v>
      </c>
      <c r="M9">
        <v>10010378.296875</v>
      </c>
      <c r="N9">
        <v>310572</v>
      </c>
      <c r="O9">
        <v>32.2320695261485</v>
      </c>
      <c r="R9" t="s">
        <v>18</v>
      </c>
      <c r="S9">
        <v>32.2320695261485</v>
      </c>
      <c r="T9">
        <v>36.131354547849398</v>
      </c>
      <c r="U9">
        <v>35.134236095733101</v>
      </c>
    </row>
    <row r="10" spans="1:26" x14ac:dyDescent="0.25">
      <c r="A10">
        <v>224020.41</v>
      </c>
      <c r="B10">
        <v>229533.9737</v>
      </c>
      <c r="C10">
        <v>6911</v>
      </c>
      <c r="I10">
        <v>2014</v>
      </c>
      <c r="J10">
        <v>9</v>
      </c>
      <c r="K10" s="9">
        <f t="shared" si="0"/>
        <v>41883</v>
      </c>
      <c r="L10" t="s">
        <v>50</v>
      </c>
      <c r="M10">
        <v>7643452.6484375</v>
      </c>
      <c r="N10">
        <v>237742</v>
      </c>
      <c r="O10">
        <v>32.1501991589097</v>
      </c>
      <c r="R10" t="s">
        <v>19</v>
      </c>
      <c r="S10">
        <v>32.1501991589097</v>
      </c>
      <c r="T10">
        <v>34.633667742695799</v>
      </c>
      <c r="U10">
        <v>36.7595465944718</v>
      </c>
    </row>
    <row r="11" spans="1:26" x14ac:dyDescent="0.25">
      <c r="A11">
        <v>101836.4022</v>
      </c>
      <c r="B11">
        <v>99381.967520000006</v>
      </c>
      <c r="C11">
        <v>2990</v>
      </c>
      <c r="I11">
        <v>2014</v>
      </c>
      <c r="J11">
        <v>10</v>
      </c>
      <c r="K11" s="9">
        <f t="shared" si="0"/>
        <v>41913</v>
      </c>
      <c r="L11" t="s">
        <v>51</v>
      </c>
      <c r="M11">
        <v>5924683.3515625</v>
      </c>
      <c r="N11">
        <v>171709</v>
      </c>
      <c r="O11">
        <v>34.504209747669002</v>
      </c>
      <c r="R11" t="s">
        <v>20</v>
      </c>
      <c r="S11">
        <v>34.504209747669002</v>
      </c>
      <c r="T11">
        <v>35.683488103903102</v>
      </c>
      <c r="U11">
        <v>41.102805955461299</v>
      </c>
    </row>
    <row r="12" spans="1:26" x14ac:dyDescent="0.25">
      <c r="A12">
        <v>107804.3049</v>
      </c>
      <c r="B12">
        <v>104816.45849999999</v>
      </c>
      <c r="C12">
        <v>3159</v>
      </c>
      <c r="I12">
        <v>2014</v>
      </c>
      <c r="J12">
        <v>11</v>
      </c>
      <c r="K12" s="9">
        <f t="shared" si="0"/>
        <v>41944</v>
      </c>
      <c r="L12" t="s">
        <v>52</v>
      </c>
      <c r="M12">
        <v>2631353.34765625</v>
      </c>
      <c r="N12">
        <v>68569</v>
      </c>
      <c r="O12">
        <v>38.375262110520097</v>
      </c>
      <c r="R12" t="s">
        <v>21</v>
      </c>
      <c r="S12">
        <v>38.375262110520097</v>
      </c>
      <c r="T12">
        <v>35.176302032894299</v>
      </c>
      <c r="U12">
        <v>42.9403544522931</v>
      </c>
    </row>
    <row r="13" spans="1:26" x14ac:dyDescent="0.25">
      <c r="A13">
        <v>144829.95670000001</v>
      </c>
      <c r="B13">
        <v>141333.9963</v>
      </c>
      <c r="C13">
        <v>4246</v>
      </c>
      <c r="I13">
        <v>2014</v>
      </c>
      <c r="J13">
        <v>12</v>
      </c>
      <c r="K13" s="9">
        <f t="shared" si="0"/>
        <v>41974</v>
      </c>
      <c r="L13" t="s">
        <v>53</v>
      </c>
      <c r="M13">
        <v>5615619.26171875</v>
      </c>
      <c r="N13">
        <v>142612</v>
      </c>
      <c r="O13">
        <v>39.376905602044403</v>
      </c>
      <c r="R13" t="s">
        <v>22</v>
      </c>
      <c r="S13">
        <v>39.376905602044403</v>
      </c>
      <c r="T13">
        <v>36.409440216419398</v>
      </c>
    </row>
    <row r="14" spans="1:26" x14ac:dyDescent="0.25">
      <c r="A14">
        <v>146571.48240000001</v>
      </c>
      <c r="B14">
        <v>143179.67000000001</v>
      </c>
      <c r="C14">
        <v>4297</v>
      </c>
      <c r="I14">
        <v>2015</v>
      </c>
      <c r="J14">
        <v>1</v>
      </c>
      <c r="K14" s="9">
        <f t="shared" si="0"/>
        <v>42005</v>
      </c>
      <c r="L14" t="s">
        <v>43</v>
      </c>
      <c r="M14">
        <v>3696191.5234375</v>
      </c>
      <c r="N14">
        <v>91740</v>
      </c>
      <c r="O14">
        <v>40.2898574606224</v>
      </c>
    </row>
    <row r="15" spans="1:26" x14ac:dyDescent="0.25">
      <c r="A15">
        <v>95422.37298</v>
      </c>
      <c r="B15">
        <v>93126.147240000006</v>
      </c>
      <c r="C15">
        <v>2796</v>
      </c>
      <c r="I15">
        <v>2015</v>
      </c>
      <c r="J15">
        <v>2</v>
      </c>
      <c r="K15" s="9">
        <f t="shared" si="0"/>
        <v>42036</v>
      </c>
      <c r="L15" t="s">
        <v>44</v>
      </c>
      <c r="M15">
        <v>4901504.89453125</v>
      </c>
      <c r="N15">
        <v>127753</v>
      </c>
      <c r="O15">
        <v>38.367043392572</v>
      </c>
    </row>
    <row r="16" spans="1:26" x14ac:dyDescent="0.25">
      <c r="A16">
        <v>114883.1738</v>
      </c>
      <c r="B16">
        <v>112186.30869999999</v>
      </c>
      <c r="C16">
        <v>3369</v>
      </c>
      <c r="I16">
        <v>2015</v>
      </c>
      <c r="J16">
        <v>3</v>
      </c>
      <c r="K16" s="9">
        <f t="shared" si="0"/>
        <v>42064</v>
      </c>
      <c r="L16" t="s">
        <v>45</v>
      </c>
      <c r="M16">
        <v>5269353.11328125</v>
      </c>
      <c r="N16">
        <v>136673</v>
      </c>
      <c r="O16">
        <v>38.554455622407097</v>
      </c>
      <c r="R16" t="s">
        <v>9</v>
      </c>
      <c r="S16" t="s">
        <v>40</v>
      </c>
      <c r="T16" t="s">
        <v>56</v>
      </c>
      <c r="U16" t="s">
        <v>41</v>
      </c>
      <c r="V16" t="s">
        <v>42</v>
      </c>
      <c r="W16" t="s">
        <v>57</v>
      </c>
      <c r="X16" t="s">
        <v>58</v>
      </c>
    </row>
    <row r="17" spans="1:24" x14ac:dyDescent="0.25">
      <c r="A17">
        <v>80090.800080000001</v>
      </c>
      <c r="B17">
        <v>78096.760179999997</v>
      </c>
      <c r="C17">
        <v>2348</v>
      </c>
      <c r="I17">
        <v>2015</v>
      </c>
      <c r="J17">
        <v>4</v>
      </c>
      <c r="K17" s="9">
        <f t="shared" si="0"/>
        <v>42095</v>
      </c>
      <c r="L17" t="s">
        <v>46</v>
      </c>
      <c r="M17">
        <v>5963993.94921875</v>
      </c>
      <c r="N17">
        <v>153702</v>
      </c>
      <c r="O17">
        <v>38.802318442302301</v>
      </c>
      <c r="R17">
        <v>2014</v>
      </c>
      <c r="S17">
        <v>75414975.660156295</v>
      </c>
      <c r="T17">
        <v>77680849.552734405</v>
      </c>
      <c r="U17">
        <v>2254230</v>
      </c>
      <c r="V17">
        <v>33.454871801083399</v>
      </c>
      <c r="W17">
        <f>(S17-T17)/S17 *100</f>
        <v>-3.0045410380941497</v>
      </c>
      <c r="X17">
        <f>T17/U17</f>
        <v>34.460037153588765</v>
      </c>
    </row>
    <row r="18" spans="1:24" x14ac:dyDescent="0.25">
      <c r="A18">
        <v>98945.371159999995</v>
      </c>
      <c r="B18">
        <v>97159.002590000004</v>
      </c>
      <c r="C18">
        <v>2903</v>
      </c>
      <c r="I18">
        <v>2015</v>
      </c>
      <c r="J18">
        <v>5</v>
      </c>
      <c r="K18" s="9">
        <f t="shared" si="0"/>
        <v>42125</v>
      </c>
      <c r="L18" t="s">
        <v>15</v>
      </c>
      <c r="M18">
        <v>8384367.1875</v>
      </c>
      <c r="N18">
        <v>220775</v>
      </c>
      <c r="O18">
        <v>37.976977409126903</v>
      </c>
      <c r="R18">
        <v>2015</v>
      </c>
      <c r="S18">
        <v>64017593.228515603</v>
      </c>
      <c r="T18">
        <v>67917203.818359405</v>
      </c>
      <c r="U18">
        <v>1715089</v>
      </c>
      <c r="V18">
        <v>37.326105658957403</v>
      </c>
      <c r="W18">
        <f>(S18-T18)/S18 *100</f>
        <v>-6.0914670376998545</v>
      </c>
      <c r="X18">
        <f>T18/U18</f>
        <v>39.599813081629819</v>
      </c>
    </row>
    <row r="19" spans="1:24" x14ac:dyDescent="0.25">
      <c r="A19">
        <v>84904.901710000006</v>
      </c>
      <c r="B19">
        <v>83350.43316</v>
      </c>
      <c r="C19">
        <v>2491</v>
      </c>
      <c r="I19">
        <v>2015</v>
      </c>
      <c r="J19">
        <v>6</v>
      </c>
      <c r="K19" s="9">
        <f t="shared" si="0"/>
        <v>42156</v>
      </c>
      <c r="L19" t="s">
        <v>47</v>
      </c>
      <c r="M19">
        <v>5332108.296875</v>
      </c>
      <c r="N19">
        <v>136581</v>
      </c>
      <c r="O19">
        <v>39.039897913143101</v>
      </c>
      <c r="R19">
        <v>2016</v>
      </c>
      <c r="S19">
        <v>46952975.761718802</v>
      </c>
      <c r="T19">
        <v>47890990.2421875</v>
      </c>
      <c r="U19">
        <v>1294458</v>
      </c>
      <c r="V19">
        <v>36.272305290491303</v>
      </c>
      <c r="W19">
        <f t="shared" ref="W19" si="1">(S19-T19)/S19 *100</f>
        <v>-1.997774294922261</v>
      </c>
      <c r="X19">
        <f>T19/U19</f>
        <v>36.996944081760475</v>
      </c>
    </row>
    <row r="20" spans="1:24" x14ac:dyDescent="0.25">
      <c r="A20">
        <v>135460.61970000001</v>
      </c>
      <c r="B20">
        <v>132703.33540000001</v>
      </c>
      <c r="C20">
        <v>3968</v>
      </c>
      <c r="I20">
        <v>2015</v>
      </c>
      <c r="J20">
        <v>7</v>
      </c>
      <c r="K20" s="9">
        <f t="shared" si="0"/>
        <v>42186</v>
      </c>
      <c r="L20" t="s">
        <v>48</v>
      </c>
      <c r="M20">
        <v>3677692.37890625</v>
      </c>
      <c r="N20">
        <v>95600</v>
      </c>
      <c r="O20">
        <v>38.469585553412699</v>
      </c>
    </row>
    <row r="21" spans="1:24" x14ac:dyDescent="0.25">
      <c r="A21">
        <v>149925.74969999999</v>
      </c>
      <c r="B21">
        <v>146928.4118</v>
      </c>
      <c r="C21">
        <v>4393</v>
      </c>
      <c r="I21">
        <v>2015</v>
      </c>
      <c r="J21">
        <v>8</v>
      </c>
      <c r="K21" s="9">
        <f t="shared" si="0"/>
        <v>42217</v>
      </c>
      <c r="L21" t="s">
        <v>49</v>
      </c>
      <c r="M21">
        <v>3934668.37890625</v>
      </c>
      <c r="N21">
        <v>108899</v>
      </c>
      <c r="O21">
        <v>36.131354547849398</v>
      </c>
    </row>
    <row r="22" spans="1:24" x14ac:dyDescent="0.25">
      <c r="A22">
        <v>74297.307180000003</v>
      </c>
      <c r="B22">
        <v>72782.284320000006</v>
      </c>
      <c r="C22">
        <v>2176</v>
      </c>
      <c r="I22">
        <v>2015</v>
      </c>
      <c r="J22">
        <v>9</v>
      </c>
      <c r="K22" s="9">
        <f t="shared" si="0"/>
        <v>42248</v>
      </c>
      <c r="L22" t="s">
        <v>50</v>
      </c>
      <c r="M22">
        <v>4669899.8574218797</v>
      </c>
      <c r="N22">
        <v>134837</v>
      </c>
      <c r="O22">
        <v>34.633667742695799</v>
      </c>
    </row>
    <row r="23" spans="1:24" x14ac:dyDescent="0.25">
      <c r="A23">
        <v>83356.424559999999</v>
      </c>
      <c r="B23">
        <v>81789.136119999996</v>
      </c>
      <c r="C23">
        <v>2443</v>
      </c>
      <c r="I23">
        <v>2015</v>
      </c>
      <c r="J23">
        <v>10</v>
      </c>
      <c r="K23" s="9">
        <f t="shared" si="0"/>
        <v>42278</v>
      </c>
      <c r="L23" t="s">
        <v>51</v>
      </c>
      <c r="M23">
        <v>4828975.078125</v>
      </c>
      <c r="N23">
        <v>135328</v>
      </c>
      <c r="O23">
        <v>35.683488103903102</v>
      </c>
    </row>
    <row r="24" spans="1:24" x14ac:dyDescent="0.25">
      <c r="A24">
        <v>89922.014290000006</v>
      </c>
      <c r="B24">
        <v>88388.916070000007</v>
      </c>
      <c r="C24">
        <v>2638</v>
      </c>
      <c r="I24">
        <v>2015</v>
      </c>
      <c r="J24">
        <v>11</v>
      </c>
      <c r="K24" s="9">
        <f t="shared" si="0"/>
        <v>42309</v>
      </c>
      <c r="L24" t="s">
        <v>52</v>
      </c>
      <c r="M24">
        <v>6538148.90625</v>
      </c>
      <c r="N24">
        <v>185868</v>
      </c>
      <c r="O24">
        <v>35.176302032894299</v>
      </c>
    </row>
    <row r="25" spans="1:24" x14ac:dyDescent="0.25">
      <c r="A25">
        <v>57806.302779999998</v>
      </c>
      <c r="B25">
        <v>57157.28254</v>
      </c>
      <c r="C25">
        <v>1704</v>
      </c>
      <c r="I25">
        <v>2015</v>
      </c>
      <c r="J25">
        <v>12</v>
      </c>
      <c r="K25" s="9">
        <f t="shared" si="0"/>
        <v>42339</v>
      </c>
      <c r="L25" t="s">
        <v>53</v>
      </c>
      <c r="M25">
        <v>6820689.6640625</v>
      </c>
      <c r="N25">
        <v>187333</v>
      </c>
      <c r="O25">
        <v>36.409440216419398</v>
      </c>
    </row>
    <row r="26" spans="1:24" x14ac:dyDescent="0.25">
      <c r="A26">
        <v>63977.750350000002</v>
      </c>
      <c r="B26">
        <v>62863.987240000002</v>
      </c>
      <c r="C26">
        <v>1872</v>
      </c>
      <c r="I26">
        <v>2016</v>
      </c>
      <c r="J26">
        <v>1</v>
      </c>
      <c r="K26" s="9">
        <f t="shared" si="0"/>
        <v>42370</v>
      </c>
      <c r="L26" t="s">
        <v>43</v>
      </c>
      <c r="M26">
        <v>5403090.51171875</v>
      </c>
      <c r="N26">
        <v>150561</v>
      </c>
      <c r="O26">
        <v>35.8863883191447</v>
      </c>
    </row>
    <row r="27" spans="1:24" x14ac:dyDescent="0.25">
      <c r="A27">
        <v>116958.79979999999</v>
      </c>
      <c r="B27">
        <v>114823.79519999999</v>
      </c>
      <c r="C27">
        <v>3423</v>
      </c>
      <c r="I27">
        <v>2016</v>
      </c>
      <c r="J27">
        <v>2</v>
      </c>
      <c r="K27" s="9">
        <f t="shared" si="0"/>
        <v>42401</v>
      </c>
      <c r="L27" t="s">
        <v>44</v>
      </c>
      <c r="M27">
        <v>4891882.3359375</v>
      </c>
      <c r="N27">
        <v>132990</v>
      </c>
      <c r="O27">
        <v>36.783835896965897</v>
      </c>
    </row>
    <row r="28" spans="1:24" x14ac:dyDescent="0.25">
      <c r="A28">
        <v>155272.8248</v>
      </c>
      <c r="B28">
        <v>152636.27660000001</v>
      </c>
      <c r="C28">
        <v>4544</v>
      </c>
      <c r="I28">
        <v>2016</v>
      </c>
      <c r="J28">
        <v>3</v>
      </c>
      <c r="K28" s="9">
        <f t="shared" si="0"/>
        <v>42430</v>
      </c>
      <c r="L28" t="s">
        <v>45</v>
      </c>
      <c r="M28">
        <v>2951855.984375</v>
      </c>
      <c r="N28">
        <v>74185</v>
      </c>
      <c r="O28">
        <v>39.790469560895097</v>
      </c>
    </row>
    <row r="29" spans="1:24" x14ac:dyDescent="0.25">
      <c r="A29">
        <v>82885.215909999999</v>
      </c>
      <c r="B29">
        <v>81583.166949999999</v>
      </c>
      <c r="C29">
        <v>2426</v>
      </c>
      <c r="I29">
        <v>2016</v>
      </c>
      <c r="J29">
        <v>4</v>
      </c>
      <c r="K29" s="9">
        <f t="shared" si="0"/>
        <v>42461</v>
      </c>
      <c r="L29" t="s">
        <v>46</v>
      </c>
      <c r="M29">
        <v>6656880.23828125</v>
      </c>
      <c r="N29">
        <v>190235</v>
      </c>
      <c r="O29">
        <v>34.992931049918496</v>
      </c>
    </row>
    <row r="30" spans="1:24" x14ac:dyDescent="0.25">
      <c r="A30">
        <v>72353.425879999995</v>
      </c>
      <c r="B30">
        <v>71377.156459999998</v>
      </c>
      <c r="C30">
        <v>2117</v>
      </c>
      <c r="I30">
        <v>2016</v>
      </c>
      <c r="J30">
        <v>5</v>
      </c>
      <c r="K30" s="9">
        <f t="shared" si="0"/>
        <v>42491</v>
      </c>
      <c r="L30" t="s">
        <v>15</v>
      </c>
      <c r="M30">
        <v>5170231.87890625</v>
      </c>
      <c r="N30">
        <v>146298</v>
      </c>
      <c r="O30">
        <v>35.340413942133502</v>
      </c>
    </row>
    <row r="31" spans="1:24" x14ac:dyDescent="0.25">
      <c r="A31">
        <v>50415.903760000001</v>
      </c>
      <c r="B31">
        <v>49769.098239999999</v>
      </c>
      <c r="C31">
        <v>1476</v>
      </c>
      <c r="I31">
        <v>2016</v>
      </c>
      <c r="J31">
        <v>6</v>
      </c>
      <c r="K31" s="9">
        <f t="shared" si="0"/>
        <v>42522</v>
      </c>
      <c r="L31" t="s">
        <v>47</v>
      </c>
      <c r="M31">
        <v>6771134.91015625</v>
      </c>
      <c r="N31">
        <v>197469</v>
      </c>
      <c r="O31">
        <v>34.289609559760002</v>
      </c>
    </row>
    <row r="32" spans="1:24" x14ac:dyDescent="0.25">
      <c r="A32">
        <v>67458.301890000002</v>
      </c>
      <c r="B32">
        <v>66529.441999999995</v>
      </c>
      <c r="C32">
        <v>1974</v>
      </c>
      <c r="I32">
        <v>2016</v>
      </c>
      <c r="J32">
        <v>7</v>
      </c>
      <c r="K32" s="9">
        <f t="shared" si="0"/>
        <v>42552</v>
      </c>
      <c r="L32" t="s">
        <v>48</v>
      </c>
      <c r="M32">
        <v>3324825.421875</v>
      </c>
      <c r="N32">
        <v>90653</v>
      </c>
      <c r="O32">
        <v>36.676397051118002</v>
      </c>
    </row>
    <row r="33" spans="1:26" x14ac:dyDescent="0.25">
      <c r="A33">
        <v>64640.369310000002</v>
      </c>
      <c r="B33">
        <v>63757.839870000003</v>
      </c>
      <c r="C33">
        <v>1892</v>
      </c>
      <c r="I33">
        <v>2016</v>
      </c>
      <c r="J33">
        <v>8</v>
      </c>
      <c r="K33" s="9">
        <f t="shared" si="0"/>
        <v>42583</v>
      </c>
      <c r="L33" t="s">
        <v>49</v>
      </c>
      <c r="M33">
        <v>4343329.4003906297</v>
      </c>
      <c r="N33">
        <v>123621</v>
      </c>
      <c r="O33">
        <v>35.134236095733101</v>
      </c>
    </row>
    <row r="34" spans="1:26" x14ac:dyDescent="0.25">
      <c r="A34">
        <v>137693.87349999999</v>
      </c>
      <c r="B34">
        <v>135609.50760000001</v>
      </c>
      <c r="C34">
        <v>4030</v>
      </c>
      <c r="I34">
        <v>2016</v>
      </c>
      <c r="J34">
        <v>9</v>
      </c>
      <c r="K34" s="9">
        <f t="shared" si="0"/>
        <v>42614</v>
      </c>
      <c r="L34" t="s">
        <v>50</v>
      </c>
      <c r="M34">
        <v>3259542.515625</v>
      </c>
      <c r="N34">
        <v>88672</v>
      </c>
      <c r="O34">
        <v>36.7595465944718</v>
      </c>
    </row>
    <row r="35" spans="1:26" x14ac:dyDescent="0.25">
      <c r="A35">
        <v>181209.12849999999</v>
      </c>
      <c r="B35">
        <v>178435.71530000001</v>
      </c>
      <c r="C35">
        <v>5304</v>
      </c>
      <c r="I35">
        <v>2016</v>
      </c>
      <c r="J35">
        <v>10</v>
      </c>
      <c r="K35" s="9">
        <f t="shared" si="0"/>
        <v>42644</v>
      </c>
      <c r="L35" t="s">
        <v>51</v>
      </c>
      <c r="M35">
        <v>2329172.7050781301</v>
      </c>
      <c r="N35">
        <v>56667</v>
      </c>
      <c r="O35">
        <v>41.102805955461299</v>
      </c>
    </row>
    <row r="36" spans="1:26" x14ac:dyDescent="0.25">
      <c r="A36">
        <v>113433.58100000001</v>
      </c>
      <c r="B36">
        <v>111466.5168</v>
      </c>
      <c r="C36">
        <v>3320</v>
      </c>
      <c r="I36">
        <v>2016</v>
      </c>
      <c r="J36">
        <v>11</v>
      </c>
      <c r="K36" s="9">
        <f t="shared" si="0"/>
        <v>42675</v>
      </c>
      <c r="L36" t="s">
        <v>52</v>
      </c>
      <c r="M36">
        <v>1851029.859375</v>
      </c>
      <c r="N36">
        <v>43107</v>
      </c>
      <c r="O36">
        <v>42.9403544522931</v>
      </c>
    </row>
    <row r="37" spans="1:26" x14ac:dyDescent="0.25">
      <c r="A37">
        <v>143192.53339999999</v>
      </c>
      <c r="B37">
        <v>140505.6347</v>
      </c>
      <c r="C37">
        <v>4191</v>
      </c>
    </row>
    <row r="38" spans="1:26" x14ac:dyDescent="0.25">
      <c r="A38">
        <v>130126.6499</v>
      </c>
      <c r="B38">
        <v>128496.2877</v>
      </c>
      <c r="C38">
        <v>3809</v>
      </c>
    </row>
    <row r="39" spans="1:26" x14ac:dyDescent="0.25">
      <c r="A39">
        <v>187155.86850000001</v>
      </c>
      <c r="B39">
        <v>195078.60329999999</v>
      </c>
      <c r="C39">
        <v>5764</v>
      </c>
      <c r="I39" t="s">
        <v>9</v>
      </c>
      <c r="J39" t="s">
        <v>8</v>
      </c>
      <c r="K39" s="9" t="s">
        <v>39</v>
      </c>
      <c r="L39" t="s">
        <v>40</v>
      </c>
      <c r="M39" t="s">
        <v>56</v>
      </c>
      <c r="N39" t="s">
        <v>59</v>
      </c>
      <c r="O39" t="s">
        <v>41</v>
      </c>
      <c r="P39" t="s">
        <v>60</v>
      </c>
      <c r="Q39" t="s">
        <v>42</v>
      </c>
      <c r="W39" t="s">
        <v>8</v>
      </c>
      <c r="X39">
        <v>2014</v>
      </c>
      <c r="Y39">
        <v>2015</v>
      </c>
      <c r="Z39">
        <v>2016</v>
      </c>
    </row>
    <row r="40" spans="1:26" x14ac:dyDescent="0.25">
      <c r="A40">
        <v>102314.7096</v>
      </c>
      <c r="B40">
        <v>101977.99</v>
      </c>
      <c r="C40">
        <v>3028</v>
      </c>
      <c r="I40">
        <v>2014</v>
      </c>
      <c r="J40">
        <v>1</v>
      </c>
      <c r="K40" s="9" t="s">
        <v>43</v>
      </c>
      <c r="L40">
        <v>4008180.46875</v>
      </c>
      <c r="M40">
        <v>3995719.79296875</v>
      </c>
      <c r="N40">
        <f>(L40-M40)/L40 *100</f>
        <v>0.31088110623761445</v>
      </c>
      <c r="O40">
        <v>119965</v>
      </c>
      <c r="P40">
        <f t="shared" ref="P40:P74" si="2">M40/N2</f>
        <v>33.307379593787772</v>
      </c>
      <c r="Q40">
        <v>33.411248853832397</v>
      </c>
      <c r="W40" t="s">
        <v>11</v>
      </c>
      <c r="X40">
        <v>0.31088110623761445</v>
      </c>
      <c r="Y40">
        <v>-4.1953708411201083</v>
      </c>
      <c r="Z40">
        <v>-4.7056804124149521</v>
      </c>
    </row>
    <row r="41" spans="1:26" x14ac:dyDescent="0.25">
      <c r="A41">
        <v>301553.84259999997</v>
      </c>
      <c r="B41">
        <v>313529.18770000001</v>
      </c>
      <c r="C41">
        <v>9284</v>
      </c>
      <c r="I41">
        <v>2014</v>
      </c>
      <c r="J41">
        <v>2</v>
      </c>
      <c r="K41" s="9" t="s">
        <v>44</v>
      </c>
      <c r="L41">
        <v>5780487.2109375</v>
      </c>
      <c r="M41">
        <v>5913478.63671875</v>
      </c>
      <c r="N41">
        <f t="shared" ref="N41:N74" si="3">(L41-M41)/L41 *100</f>
        <v>-2.300695787884651</v>
      </c>
      <c r="O41">
        <v>178035</v>
      </c>
      <c r="P41">
        <f t="shared" si="2"/>
        <v>33.215259003672031</v>
      </c>
      <c r="Q41">
        <v>32.468263043432501</v>
      </c>
      <c r="W41" t="s">
        <v>12</v>
      </c>
      <c r="X41">
        <v>-2.300695787884651</v>
      </c>
      <c r="Y41">
        <v>-5.1056025600262611</v>
      </c>
      <c r="Z41">
        <v>5.2713284946699621E-2</v>
      </c>
    </row>
    <row r="42" spans="1:26" x14ac:dyDescent="0.25">
      <c r="A42">
        <v>316073.17749999999</v>
      </c>
      <c r="B42">
        <v>329754.7795</v>
      </c>
      <c r="C42">
        <v>9737</v>
      </c>
      <c r="I42">
        <v>2014</v>
      </c>
      <c r="J42">
        <v>3</v>
      </c>
      <c r="K42" s="9" t="s">
        <v>45</v>
      </c>
      <c r="L42">
        <v>8279517.171875</v>
      </c>
      <c r="M42">
        <v>8415653.953125</v>
      </c>
      <c r="N42">
        <f t="shared" si="3"/>
        <v>-1.6442599057883243</v>
      </c>
      <c r="O42">
        <v>252836</v>
      </c>
      <c r="P42">
        <f t="shared" si="2"/>
        <v>33.285030427332345</v>
      </c>
      <c r="Q42">
        <v>32.746591355166998</v>
      </c>
      <c r="W42" t="s">
        <v>13</v>
      </c>
      <c r="X42">
        <v>-1.6442599057883243</v>
      </c>
      <c r="Y42">
        <v>-6.2678972089817808</v>
      </c>
      <c r="Z42">
        <v>1.1536638074784085</v>
      </c>
    </row>
    <row r="43" spans="1:26" x14ac:dyDescent="0.25">
      <c r="A43">
        <v>135178.04259999999</v>
      </c>
      <c r="B43">
        <v>141530.70869999999</v>
      </c>
      <c r="C43">
        <v>4163</v>
      </c>
      <c r="I43">
        <v>2014</v>
      </c>
      <c r="J43">
        <v>4</v>
      </c>
      <c r="K43" s="9" t="s">
        <v>46</v>
      </c>
      <c r="L43">
        <v>6435743.2578125</v>
      </c>
      <c r="M43">
        <v>6479643.5859375</v>
      </c>
      <c r="N43">
        <f t="shared" si="3"/>
        <v>-0.68213299329037658</v>
      </c>
      <c r="O43">
        <v>190091</v>
      </c>
      <c r="P43">
        <f t="shared" si="2"/>
        <v>34.087061386059837</v>
      </c>
      <c r="Q43">
        <v>33.856117637407898</v>
      </c>
      <c r="W43" t="s">
        <v>14</v>
      </c>
      <c r="X43">
        <v>-0.68213299329037658</v>
      </c>
      <c r="Y43">
        <v>-5.4104625675973264</v>
      </c>
      <c r="Z43">
        <v>-7.0731583976238079</v>
      </c>
    </row>
    <row r="44" spans="1:26" x14ac:dyDescent="0.25">
      <c r="A44">
        <v>147727.51620000001</v>
      </c>
      <c r="B44">
        <v>154828.68460000001</v>
      </c>
      <c r="C44">
        <v>4552</v>
      </c>
      <c r="I44">
        <v>2014</v>
      </c>
      <c r="J44">
        <v>5</v>
      </c>
      <c r="K44" s="9" t="s">
        <v>15</v>
      </c>
      <c r="L44">
        <v>7694906.1875</v>
      </c>
      <c r="M44">
        <v>8017240.4765625</v>
      </c>
      <c r="N44">
        <f t="shared" si="3"/>
        <v>-4.1889307186891553</v>
      </c>
      <c r="O44">
        <v>235793</v>
      </c>
      <c r="P44">
        <f t="shared" si="2"/>
        <v>34.001181021330147</v>
      </c>
      <c r="Q44">
        <v>32.634158721844997</v>
      </c>
      <c r="W44" t="s">
        <v>15</v>
      </c>
      <c r="X44">
        <v>-4.1889307186891553</v>
      </c>
      <c r="Y44">
        <v>-7.0289704891637061</v>
      </c>
      <c r="Z44">
        <v>-3.2525181162900583</v>
      </c>
    </row>
    <row r="45" spans="1:26" x14ac:dyDescent="0.25">
      <c r="A45">
        <v>135498.7464</v>
      </c>
      <c r="B45">
        <v>139824.16159999999</v>
      </c>
      <c r="C45">
        <v>4172</v>
      </c>
      <c r="I45">
        <v>2014</v>
      </c>
      <c r="J45">
        <v>6</v>
      </c>
      <c r="K45" s="9" t="s">
        <v>47</v>
      </c>
      <c r="L45">
        <v>6456943.640625</v>
      </c>
      <c r="M45">
        <v>6645843.63671875</v>
      </c>
      <c r="N45">
        <f t="shared" si="3"/>
        <v>-2.925532676253396</v>
      </c>
      <c r="O45">
        <v>198857</v>
      </c>
      <c r="P45">
        <f t="shared" si="2"/>
        <v>33.420214710665199</v>
      </c>
      <c r="Q45">
        <v>32.470285886969002</v>
      </c>
      <c r="W45" t="s">
        <v>16</v>
      </c>
      <c r="X45">
        <v>-2.925532676253396</v>
      </c>
      <c r="Y45">
        <v>-3.5411329338417676</v>
      </c>
      <c r="Z45">
        <v>-5.8662954233559041</v>
      </c>
    </row>
    <row r="46" spans="1:26" x14ac:dyDescent="0.25">
      <c r="A46">
        <v>163432.84520000001</v>
      </c>
      <c r="B46">
        <v>166893.3689</v>
      </c>
      <c r="C46">
        <v>5037</v>
      </c>
      <c r="I46">
        <v>2014</v>
      </c>
      <c r="J46">
        <v>7</v>
      </c>
      <c r="K46" s="9" t="s">
        <v>48</v>
      </c>
      <c r="L46">
        <v>4933710.81640625</v>
      </c>
      <c r="M46">
        <v>5004894.8828125</v>
      </c>
      <c r="N46">
        <f t="shared" si="3"/>
        <v>-1.4428098657411985</v>
      </c>
      <c r="O46">
        <v>147449</v>
      </c>
      <c r="P46">
        <f t="shared" si="2"/>
        <v>33.943227033160618</v>
      </c>
      <c r="Q46">
        <v>33.460456268989603</v>
      </c>
      <c r="W46" t="s">
        <v>17</v>
      </c>
      <c r="X46">
        <v>-1.4428098657411985</v>
      </c>
      <c r="Y46">
        <v>-4.1193277609057439</v>
      </c>
      <c r="Z46">
        <v>1.6971766332449401</v>
      </c>
    </row>
    <row r="47" spans="1:26" x14ac:dyDescent="0.25">
      <c r="A47">
        <v>138291.63329999999</v>
      </c>
      <c r="B47">
        <v>141027.4345</v>
      </c>
      <c r="C47">
        <v>4259</v>
      </c>
      <c r="I47">
        <v>2014</v>
      </c>
      <c r="J47">
        <v>8</v>
      </c>
      <c r="K47" s="9" t="s">
        <v>49</v>
      </c>
      <c r="L47">
        <v>10010378.296875</v>
      </c>
      <c r="M47">
        <v>10524432.3359375</v>
      </c>
      <c r="N47">
        <f t="shared" si="3"/>
        <v>-5.1352109162845059</v>
      </c>
      <c r="O47">
        <v>310572</v>
      </c>
      <c r="P47">
        <f t="shared" si="2"/>
        <v>33.88725427899972</v>
      </c>
      <c r="Q47">
        <v>32.2320695261485</v>
      </c>
      <c r="W47" t="s">
        <v>18</v>
      </c>
      <c r="X47">
        <v>-5.1352109162845059</v>
      </c>
      <c r="Y47">
        <v>-7.021149946915564</v>
      </c>
      <c r="Z47">
        <v>-3.1417895570844165</v>
      </c>
    </row>
    <row r="48" spans="1:26" x14ac:dyDescent="0.25">
      <c r="A48">
        <v>336901.37170000002</v>
      </c>
      <c r="B48">
        <v>343519.87550000002</v>
      </c>
      <c r="C48">
        <v>10381</v>
      </c>
      <c r="I48">
        <v>2014</v>
      </c>
      <c r="J48">
        <v>9</v>
      </c>
      <c r="K48" s="9" t="s">
        <v>50</v>
      </c>
      <c r="L48">
        <v>7643452.6484375</v>
      </c>
      <c r="M48">
        <v>8193560.0625</v>
      </c>
      <c r="N48">
        <f t="shared" si="3"/>
        <v>-7.19710632569896</v>
      </c>
      <c r="O48">
        <v>237742</v>
      </c>
      <c r="P48">
        <f t="shared" si="2"/>
        <v>34.464083176300356</v>
      </c>
      <c r="Q48">
        <v>32.1501991589097</v>
      </c>
      <c r="W48" t="s">
        <v>19</v>
      </c>
      <c r="X48">
        <v>-7.19710632569896</v>
      </c>
      <c r="Y48">
        <v>-7.5932001246945839</v>
      </c>
      <c r="Z48">
        <v>1.5138694621548239</v>
      </c>
    </row>
    <row r="49" spans="1:26" x14ac:dyDescent="0.25">
      <c r="A49">
        <v>367729.26819999999</v>
      </c>
      <c r="B49">
        <v>373973.59330000001</v>
      </c>
      <c r="C49">
        <v>11332</v>
      </c>
      <c r="I49">
        <v>2014</v>
      </c>
      <c r="J49">
        <v>10</v>
      </c>
      <c r="K49" s="9" t="s">
        <v>51</v>
      </c>
      <c r="L49">
        <v>5924683.3515625</v>
      </c>
      <c r="M49">
        <v>6038461.28515625</v>
      </c>
      <c r="N49">
        <f t="shared" si="3"/>
        <v>-1.9204053084751551</v>
      </c>
      <c r="O49">
        <v>171709</v>
      </c>
      <c r="P49">
        <f t="shared" si="2"/>
        <v>35.166830423310657</v>
      </c>
      <c r="Q49">
        <v>34.504209747669002</v>
      </c>
      <c r="W49" t="s">
        <v>20</v>
      </c>
      <c r="X49">
        <v>-1.9204053084751551</v>
      </c>
      <c r="Y49">
        <v>-7.175829608382382</v>
      </c>
      <c r="Z49">
        <v>9.4437660468106674</v>
      </c>
    </row>
    <row r="50" spans="1:26" x14ac:dyDescent="0.25">
      <c r="A50">
        <v>133913.8414</v>
      </c>
      <c r="B50">
        <v>136797.07740000001</v>
      </c>
      <c r="C50">
        <v>4127</v>
      </c>
      <c r="I50">
        <v>2014</v>
      </c>
      <c r="J50">
        <v>11</v>
      </c>
      <c r="K50" s="9" t="s">
        <v>52</v>
      </c>
      <c r="L50">
        <v>2631353.34765625</v>
      </c>
      <c r="M50">
        <v>2517124.8417968801</v>
      </c>
      <c r="N50">
        <f t="shared" si="3"/>
        <v>4.3410553721761982</v>
      </c>
      <c r="O50">
        <v>68569</v>
      </c>
      <c r="P50">
        <f t="shared" si="2"/>
        <v>36.709370733084633</v>
      </c>
      <c r="Q50">
        <v>38.375262110520097</v>
      </c>
      <c r="W50" t="s">
        <v>21</v>
      </c>
      <c r="X50">
        <v>4.3410553721761982</v>
      </c>
      <c r="Y50">
        <v>-9.1873795366344257</v>
      </c>
      <c r="Z50">
        <v>6.8371119857424638</v>
      </c>
    </row>
    <row r="51" spans="1:26" x14ac:dyDescent="0.25">
      <c r="A51">
        <v>150800.34700000001</v>
      </c>
      <c r="B51">
        <v>152887.10639999999</v>
      </c>
      <c r="C51">
        <v>4649</v>
      </c>
      <c r="I51">
        <v>2014</v>
      </c>
      <c r="J51">
        <v>12</v>
      </c>
      <c r="K51" s="9" t="s">
        <v>53</v>
      </c>
      <c r="L51">
        <v>5615619.26171875</v>
      </c>
      <c r="M51">
        <v>5934796.0625</v>
      </c>
      <c r="N51">
        <f t="shared" si="3"/>
        <v>-5.6837329225122861</v>
      </c>
      <c r="O51">
        <v>142612</v>
      </c>
      <c r="P51">
        <f t="shared" si="2"/>
        <v>41.614983749614339</v>
      </c>
      <c r="Q51">
        <v>39.376905602044403</v>
      </c>
      <c r="W51" t="s">
        <v>22</v>
      </c>
      <c r="X51">
        <v>-5.6837329225122861</v>
      </c>
      <c r="Y51">
        <v>-4.8914065951475436</v>
      </c>
    </row>
    <row r="52" spans="1:26" x14ac:dyDescent="0.25">
      <c r="A52">
        <v>55591.930339999999</v>
      </c>
      <c r="B52">
        <v>53463.244209999997</v>
      </c>
      <c r="C52">
        <v>1627</v>
      </c>
      <c r="I52">
        <v>2015</v>
      </c>
      <c r="J52">
        <v>1</v>
      </c>
      <c r="K52" s="9" t="s">
        <v>43</v>
      </c>
      <c r="L52">
        <v>3696191.5234375</v>
      </c>
      <c r="M52">
        <v>3851260.46484375</v>
      </c>
      <c r="N52">
        <f t="shared" si="3"/>
        <v>-4.1953708411201083</v>
      </c>
      <c r="O52">
        <v>91740</v>
      </c>
      <c r="P52">
        <f t="shared" si="2"/>
        <v>41.980166392454215</v>
      </c>
      <c r="Q52">
        <v>40.2898574606224</v>
      </c>
    </row>
    <row r="53" spans="1:26" x14ac:dyDescent="0.25">
      <c r="A53">
        <v>106427.1918</v>
      </c>
      <c r="B53">
        <v>107736.44409999999</v>
      </c>
      <c r="C53">
        <v>3281</v>
      </c>
      <c r="I53">
        <v>2015</v>
      </c>
      <c r="J53">
        <v>2</v>
      </c>
      <c r="K53" s="9" t="s">
        <v>44</v>
      </c>
      <c r="L53">
        <v>4901504.89453125</v>
      </c>
      <c r="M53">
        <v>5151756.25390625</v>
      </c>
      <c r="N53">
        <f t="shared" si="3"/>
        <v>-5.1056025600262611</v>
      </c>
      <c r="O53">
        <v>127753</v>
      </c>
      <c r="P53">
        <f t="shared" si="2"/>
        <v>40.325912142229534</v>
      </c>
      <c r="Q53">
        <v>38.367043392572</v>
      </c>
    </row>
    <row r="54" spans="1:26" x14ac:dyDescent="0.25">
      <c r="A54">
        <v>78940.55442</v>
      </c>
      <c r="B54">
        <v>75934.394820000001</v>
      </c>
      <c r="C54">
        <v>2310</v>
      </c>
      <c r="I54">
        <v>2015</v>
      </c>
      <c r="J54">
        <v>3</v>
      </c>
      <c r="K54" s="9" t="s">
        <v>45</v>
      </c>
      <c r="L54">
        <v>5269353.11328125</v>
      </c>
      <c r="M54">
        <v>5599630.75</v>
      </c>
      <c r="N54">
        <f t="shared" si="3"/>
        <v>-6.2678972089817808</v>
      </c>
      <c r="O54">
        <v>136673</v>
      </c>
      <c r="P54">
        <f t="shared" si="2"/>
        <v>40.971009270302105</v>
      </c>
      <c r="Q54">
        <v>38.554455622407097</v>
      </c>
    </row>
    <row r="55" spans="1:26" x14ac:dyDescent="0.25">
      <c r="A55">
        <v>317916.31790000002</v>
      </c>
      <c r="B55">
        <v>322089.78899999999</v>
      </c>
      <c r="C55">
        <v>9802</v>
      </c>
      <c r="I55">
        <v>2015</v>
      </c>
      <c r="J55">
        <v>4</v>
      </c>
      <c r="K55" s="9" t="s">
        <v>46</v>
      </c>
      <c r="L55">
        <v>5963993.94921875</v>
      </c>
      <c r="M55">
        <v>6286673.609375</v>
      </c>
      <c r="N55">
        <f t="shared" si="3"/>
        <v>-5.4104625675973264</v>
      </c>
      <c r="O55">
        <v>153702</v>
      </c>
      <c r="P55">
        <f t="shared" si="2"/>
        <v>40.901703356982992</v>
      </c>
      <c r="Q55">
        <v>38.802318442302301</v>
      </c>
    </row>
    <row r="56" spans="1:26" x14ac:dyDescent="0.25">
      <c r="A56">
        <v>309217.87560000003</v>
      </c>
      <c r="B56">
        <v>320116.92430000001</v>
      </c>
      <c r="C56">
        <v>9772</v>
      </c>
      <c r="I56">
        <v>2015</v>
      </c>
      <c r="J56">
        <v>5</v>
      </c>
      <c r="K56" s="9" t="s">
        <v>15</v>
      </c>
      <c r="L56">
        <v>8384367.1875</v>
      </c>
      <c r="M56">
        <v>8973701.8828125</v>
      </c>
      <c r="N56">
        <f t="shared" si="3"/>
        <v>-7.0289704891637061</v>
      </c>
      <c r="O56">
        <v>220775</v>
      </c>
      <c r="P56">
        <f t="shared" si="2"/>
        <v>40.646367943890837</v>
      </c>
      <c r="Q56">
        <v>37.976977409126903</v>
      </c>
    </row>
    <row r="57" spans="1:26" x14ac:dyDescent="0.25">
      <c r="A57">
        <v>138491.54999999999</v>
      </c>
      <c r="B57">
        <v>140752.60159999999</v>
      </c>
      <c r="C57">
        <v>4270</v>
      </c>
      <c r="I57">
        <v>2015</v>
      </c>
      <c r="J57">
        <v>6</v>
      </c>
      <c r="K57" s="9" t="s">
        <v>47</v>
      </c>
      <c r="L57">
        <v>5332108.296875</v>
      </c>
      <c r="M57">
        <v>5520925.33984375</v>
      </c>
      <c r="N57">
        <f t="shared" si="3"/>
        <v>-3.5411329338417676</v>
      </c>
      <c r="O57">
        <v>136581</v>
      </c>
      <c r="P57">
        <f t="shared" si="2"/>
        <v>40.42235259548363</v>
      </c>
      <c r="Q57">
        <v>39.039897913143101</v>
      </c>
    </row>
    <row r="58" spans="1:26" x14ac:dyDescent="0.25">
      <c r="A58">
        <v>133146.22219999999</v>
      </c>
      <c r="B58">
        <v>134505.40419999999</v>
      </c>
      <c r="C58">
        <v>4106</v>
      </c>
      <c r="I58">
        <v>2015</v>
      </c>
      <c r="J58">
        <v>7</v>
      </c>
      <c r="K58" s="9" t="s">
        <v>48</v>
      </c>
      <c r="L58">
        <v>3677692.37890625</v>
      </c>
      <c r="M58">
        <v>3829188.58203125</v>
      </c>
      <c r="N58">
        <f t="shared" si="3"/>
        <v>-4.1193277609057439</v>
      </c>
      <c r="O58">
        <v>95600</v>
      </c>
      <c r="P58">
        <f t="shared" si="2"/>
        <v>40.054273870619767</v>
      </c>
      <c r="Q58">
        <v>38.469585553412699</v>
      </c>
    </row>
    <row r="59" spans="1:26" x14ac:dyDescent="0.25">
      <c r="A59">
        <v>224994.6562</v>
      </c>
      <c r="B59">
        <v>227546.4466</v>
      </c>
      <c r="C59">
        <v>6937</v>
      </c>
      <c r="I59">
        <v>2015</v>
      </c>
      <c r="J59">
        <v>8</v>
      </c>
      <c r="K59" s="9" t="s">
        <v>49</v>
      </c>
      <c r="L59">
        <v>3934668.37890625</v>
      </c>
      <c r="M59">
        <v>4210927.3457031297</v>
      </c>
      <c r="N59">
        <f t="shared" si="3"/>
        <v>-7.021149946915564</v>
      </c>
      <c r="O59">
        <v>108899</v>
      </c>
      <c r="P59">
        <f t="shared" si="2"/>
        <v>38.668191128505583</v>
      </c>
      <c r="Q59">
        <v>36.131354547849398</v>
      </c>
    </row>
    <row r="60" spans="1:26" x14ac:dyDescent="0.25">
      <c r="A60">
        <v>225051.59150000001</v>
      </c>
      <c r="B60">
        <v>228214.1421</v>
      </c>
      <c r="C60">
        <v>6934</v>
      </c>
      <c r="I60">
        <v>2015</v>
      </c>
      <c r="J60">
        <v>9</v>
      </c>
      <c r="K60" s="9" t="s">
        <v>50</v>
      </c>
      <c r="L60">
        <v>4669899.8574218797</v>
      </c>
      <c r="M60">
        <v>5024494.69921875</v>
      </c>
      <c r="N60">
        <f t="shared" si="3"/>
        <v>-7.5932001246945839</v>
      </c>
      <c r="O60">
        <v>134837</v>
      </c>
      <c r="P60">
        <f t="shared" si="2"/>
        <v>37.263471444920533</v>
      </c>
      <c r="Q60">
        <v>34.633667742695799</v>
      </c>
    </row>
    <row r="61" spans="1:26" x14ac:dyDescent="0.25">
      <c r="A61">
        <v>344299.68239999999</v>
      </c>
      <c r="B61">
        <v>365935.65299999999</v>
      </c>
      <c r="C61">
        <v>11082</v>
      </c>
      <c r="I61">
        <v>2015</v>
      </c>
      <c r="J61">
        <v>10</v>
      </c>
      <c r="K61" s="9" t="s">
        <v>51</v>
      </c>
      <c r="L61">
        <v>4828975.078125</v>
      </c>
      <c r="M61">
        <v>5175494.1015625</v>
      </c>
      <c r="N61">
        <f t="shared" si="3"/>
        <v>-7.175829608382382</v>
      </c>
      <c r="O61">
        <v>135328</v>
      </c>
      <c r="P61">
        <f t="shared" si="2"/>
        <v>38.244074408566597</v>
      </c>
      <c r="Q61">
        <v>35.683488103903102</v>
      </c>
    </row>
    <row r="62" spans="1:26" x14ac:dyDescent="0.25">
      <c r="A62">
        <v>661876.5</v>
      </c>
      <c r="B62">
        <v>686656.79099999997</v>
      </c>
      <c r="C62">
        <v>20805</v>
      </c>
      <c r="I62">
        <v>2015</v>
      </c>
      <c r="J62">
        <v>11</v>
      </c>
      <c r="K62" s="9" t="s">
        <v>52</v>
      </c>
      <c r="L62">
        <v>6538148.90625</v>
      </c>
      <c r="M62">
        <v>7138833.4609375</v>
      </c>
      <c r="N62">
        <f t="shared" si="3"/>
        <v>-9.1873795366344257</v>
      </c>
      <c r="O62">
        <v>185868</v>
      </c>
      <c r="P62">
        <f t="shared" si="2"/>
        <v>38.408082407609164</v>
      </c>
      <c r="Q62">
        <v>35.176302032894299</v>
      </c>
    </row>
    <row r="63" spans="1:26" x14ac:dyDescent="0.25">
      <c r="A63">
        <v>846678.38820000004</v>
      </c>
      <c r="B63">
        <v>872081.58499999996</v>
      </c>
      <c r="C63">
        <v>26410</v>
      </c>
      <c r="I63">
        <v>2015</v>
      </c>
      <c r="J63">
        <v>12</v>
      </c>
      <c r="K63" s="9" t="s">
        <v>53</v>
      </c>
      <c r="L63">
        <v>6820689.6640625</v>
      </c>
      <c r="M63">
        <v>7154317.328125</v>
      </c>
      <c r="N63">
        <f t="shared" si="3"/>
        <v>-4.8914065951475436</v>
      </c>
      <c r="O63">
        <v>187333</v>
      </c>
      <c r="P63">
        <f t="shared" si="2"/>
        <v>38.190373976421668</v>
      </c>
      <c r="Q63">
        <v>36.409440216419398</v>
      </c>
    </row>
    <row r="64" spans="1:26" x14ac:dyDescent="0.25">
      <c r="A64">
        <v>478902.30489999999</v>
      </c>
      <c r="B64">
        <v>495554.44990000001</v>
      </c>
      <c r="C64">
        <v>15004</v>
      </c>
      <c r="I64">
        <v>2016</v>
      </c>
      <c r="J64">
        <v>1</v>
      </c>
      <c r="K64" s="9" t="s">
        <v>43</v>
      </c>
      <c r="L64">
        <v>5403090.51171875</v>
      </c>
      <c r="M64">
        <v>5657342.68359375</v>
      </c>
      <c r="N64">
        <f t="shared" si="3"/>
        <v>-4.7056804124149521</v>
      </c>
      <c r="O64">
        <v>150561</v>
      </c>
      <c r="P64">
        <f t="shared" si="2"/>
        <v>37.575087065001895</v>
      </c>
      <c r="Q64">
        <v>35.8863883191447</v>
      </c>
    </row>
    <row r="65" spans="1:17" x14ac:dyDescent="0.25">
      <c r="A65">
        <v>538827.20209999999</v>
      </c>
      <c r="B65">
        <v>557567.13699999999</v>
      </c>
      <c r="C65">
        <v>16884</v>
      </c>
      <c r="I65">
        <v>2016</v>
      </c>
      <c r="J65">
        <v>2</v>
      </c>
      <c r="K65" s="9" t="s">
        <v>44</v>
      </c>
      <c r="L65">
        <v>4891882.3359375</v>
      </c>
      <c r="M65">
        <v>4889303.6640625</v>
      </c>
      <c r="N65">
        <f t="shared" si="3"/>
        <v>5.2713284946699621E-2</v>
      </c>
      <c r="O65">
        <v>132990</v>
      </c>
      <c r="P65">
        <f t="shared" si="2"/>
        <v>36.764445928735242</v>
      </c>
      <c r="Q65">
        <v>36.783835896965897</v>
      </c>
    </row>
    <row r="66" spans="1:17" x14ac:dyDescent="0.25">
      <c r="A66">
        <v>310346.1213</v>
      </c>
      <c r="B66">
        <v>323325.02990000002</v>
      </c>
      <c r="C66">
        <v>9789</v>
      </c>
      <c r="I66">
        <v>2016</v>
      </c>
      <c r="J66">
        <v>3</v>
      </c>
      <c r="K66" s="9" t="s">
        <v>45</v>
      </c>
      <c r="L66">
        <v>2951855.984375</v>
      </c>
      <c r="M66">
        <v>2917801.4902343801</v>
      </c>
      <c r="N66">
        <f t="shared" si="3"/>
        <v>1.1536638074784085</v>
      </c>
      <c r="O66">
        <v>74185</v>
      </c>
      <c r="P66">
        <f t="shared" si="2"/>
        <v>39.331421314745299</v>
      </c>
      <c r="Q66">
        <v>39.790469560895097</v>
      </c>
    </row>
    <row r="67" spans="1:17" x14ac:dyDescent="0.25">
      <c r="A67">
        <v>256390.52220000001</v>
      </c>
      <c r="B67">
        <v>267308.50709999999</v>
      </c>
      <c r="C67">
        <v>8079</v>
      </c>
      <c r="I67">
        <v>2016</v>
      </c>
      <c r="J67">
        <v>4</v>
      </c>
      <c r="K67" s="9" t="s">
        <v>46</v>
      </c>
      <c r="L67">
        <v>6656880.23828125</v>
      </c>
      <c r="M67">
        <v>7127731.921875</v>
      </c>
      <c r="N67">
        <f t="shared" si="3"/>
        <v>-7.0731583976238079</v>
      </c>
      <c r="O67">
        <v>190235</v>
      </c>
      <c r="P67">
        <f t="shared" si="2"/>
        <v>37.46803649105054</v>
      </c>
      <c r="Q67">
        <v>34.992931049918496</v>
      </c>
    </row>
    <row r="68" spans="1:17" x14ac:dyDescent="0.25">
      <c r="A68">
        <v>167803.65979999999</v>
      </c>
      <c r="B68">
        <v>168135.69</v>
      </c>
      <c r="C68">
        <v>5072</v>
      </c>
      <c r="I68">
        <v>2016</v>
      </c>
      <c r="J68">
        <v>5</v>
      </c>
      <c r="K68" s="9" t="s">
        <v>15</v>
      </c>
      <c r="L68">
        <v>5170231.87890625</v>
      </c>
      <c r="M68">
        <v>5338394.6074218797</v>
      </c>
      <c r="N68">
        <f t="shared" si="3"/>
        <v>-3.2525181162900583</v>
      </c>
      <c r="O68">
        <v>146298</v>
      </c>
      <c r="P68">
        <f t="shared" si="2"/>
        <v>36.489867307973313</v>
      </c>
      <c r="Q68">
        <v>35.340413942133502</v>
      </c>
    </row>
    <row r="69" spans="1:17" x14ac:dyDescent="0.25">
      <c r="A69">
        <v>465318.02149999997</v>
      </c>
      <c r="B69">
        <v>483774.59669999999</v>
      </c>
      <c r="C69">
        <v>14551</v>
      </c>
      <c r="I69">
        <v>2016</v>
      </c>
      <c r="J69">
        <v>6</v>
      </c>
      <c r="K69" s="9" t="s">
        <v>47</v>
      </c>
      <c r="L69">
        <v>6771134.91015625</v>
      </c>
      <c r="M69">
        <v>7168349.6875</v>
      </c>
      <c r="N69">
        <f t="shared" si="3"/>
        <v>-5.8662954233559041</v>
      </c>
      <c r="O69">
        <v>197469</v>
      </c>
      <c r="P69">
        <f t="shared" si="2"/>
        <v>36.301139356050825</v>
      </c>
      <c r="Q69">
        <v>34.289609559760002</v>
      </c>
    </row>
    <row r="70" spans="1:17" x14ac:dyDescent="0.25">
      <c r="A70">
        <v>520146.74959999998</v>
      </c>
      <c r="B70">
        <v>541498.95819999999</v>
      </c>
      <c r="C70">
        <v>16262</v>
      </c>
      <c r="I70">
        <v>2016</v>
      </c>
      <c r="J70">
        <v>7</v>
      </c>
      <c r="K70" s="9" t="s">
        <v>48</v>
      </c>
      <c r="L70">
        <v>3324825.421875</v>
      </c>
      <c r="M70">
        <v>3268397.26171875</v>
      </c>
      <c r="N70">
        <f t="shared" si="3"/>
        <v>1.6971766332449401</v>
      </c>
      <c r="O70">
        <v>90653</v>
      </c>
      <c r="P70">
        <f t="shared" si="2"/>
        <v>36.053933810450289</v>
      </c>
      <c r="Q70">
        <v>36.676397051118002</v>
      </c>
    </row>
    <row r="71" spans="1:17" x14ac:dyDescent="0.25">
      <c r="A71">
        <v>224699.25279999999</v>
      </c>
      <c r="B71">
        <v>233589.98300000001</v>
      </c>
      <c r="C71">
        <v>7014</v>
      </c>
      <c r="I71">
        <v>2016</v>
      </c>
      <c r="J71">
        <v>8</v>
      </c>
      <c r="K71" s="9" t="s">
        <v>49</v>
      </c>
      <c r="L71">
        <v>4343329.4003906297</v>
      </c>
      <c r="M71">
        <v>4479787.6699218797</v>
      </c>
      <c r="N71">
        <f t="shared" si="3"/>
        <v>-3.1417895570844165</v>
      </c>
      <c r="O71">
        <v>123621</v>
      </c>
      <c r="P71">
        <f t="shared" si="2"/>
        <v>36.238079856350296</v>
      </c>
      <c r="Q71">
        <v>35.134236095733101</v>
      </c>
    </row>
    <row r="72" spans="1:17" x14ac:dyDescent="0.25">
      <c r="A72">
        <v>286230.6789</v>
      </c>
      <c r="B72">
        <v>297642.89140000002</v>
      </c>
      <c r="C72">
        <v>8932</v>
      </c>
      <c r="I72">
        <v>2016</v>
      </c>
      <c r="J72">
        <v>9</v>
      </c>
      <c r="K72" s="9" t="s">
        <v>50</v>
      </c>
      <c r="L72">
        <v>3259542.515625</v>
      </c>
      <c r="M72">
        <v>3210197.296875</v>
      </c>
      <c r="N72">
        <f t="shared" si="3"/>
        <v>1.5138694621548239</v>
      </c>
      <c r="O72">
        <v>88672</v>
      </c>
      <c r="P72">
        <f t="shared" si="2"/>
        <v>36.203055044151476</v>
      </c>
      <c r="Q72">
        <v>36.7595465944718</v>
      </c>
    </row>
    <row r="73" spans="1:17" x14ac:dyDescent="0.25">
      <c r="A73">
        <v>187143.01809999999</v>
      </c>
      <c r="B73">
        <v>191499.0428</v>
      </c>
      <c r="C73">
        <v>5737</v>
      </c>
      <c r="I73">
        <v>2016</v>
      </c>
      <c r="J73">
        <v>10</v>
      </c>
      <c r="K73" s="9" t="s">
        <v>51</v>
      </c>
      <c r="L73">
        <v>2329172.7050781301</v>
      </c>
      <c r="M73">
        <v>2109211.0839843801</v>
      </c>
      <c r="N73">
        <f t="shared" si="3"/>
        <v>9.4437660468106674</v>
      </c>
      <c r="O73">
        <v>56667</v>
      </c>
      <c r="P73">
        <f t="shared" si="2"/>
        <v>37.221153122353044</v>
      </c>
      <c r="Q73">
        <v>41.102805955461299</v>
      </c>
    </row>
    <row r="74" spans="1:17" x14ac:dyDescent="0.25">
      <c r="A74">
        <v>191700.3891</v>
      </c>
      <c r="B74">
        <v>197153.424</v>
      </c>
      <c r="C74">
        <v>5903</v>
      </c>
      <c r="I74">
        <v>2016</v>
      </c>
      <c r="J74">
        <v>11</v>
      </c>
      <c r="K74" s="9" t="s">
        <v>52</v>
      </c>
      <c r="L74">
        <v>1851029.859375</v>
      </c>
      <c r="M74">
        <v>1724472.875</v>
      </c>
      <c r="N74">
        <f t="shared" si="3"/>
        <v>6.8371119857424638</v>
      </c>
      <c r="O74">
        <v>43107</v>
      </c>
      <c r="P74">
        <f t="shared" si="2"/>
        <v>40.004474331315102</v>
      </c>
      <c r="Q74">
        <v>42.9403544522931</v>
      </c>
    </row>
    <row r="75" spans="1:17" x14ac:dyDescent="0.25">
      <c r="A75">
        <v>164663.9676</v>
      </c>
      <c r="B75">
        <v>168975.174</v>
      </c>
      <c r="C75">
        <v>5056</v>
      </c>
    </row>
    <row r="76" spans="1:17" x14ac:dyDescent="0.25">
      <c r="A76">
        <v>395941.34509999998</v>
      </c>
      <c r="B76">
        <v>406765.91399999999</v>
      </c>
      <c r="C76">
        <v>12167</v>
      </c>
    </row>
    <row r="77" spans="1:17" x14ac:dyDescent="0.25">
      <c r="A77">
        <v>518183.21039999998</v>
      </c>
      <c r="B77">
        <v>534383.14309999999</v>
      </c>
      <c r="C77">
        <v>15971</v>
      </c>
    </row>
    <row r="78" spans="1:17" x14ac:dyDescent="0.25">
      <c r="A78">
        <v>226617.95490000001</v>
      </c>
      <c r="B78">
        <v>233191.10459999999</v>
      </c>
      <c r="C78">
        <v>6968</v>
      </c>
    </row>
    <row r="79" spans="1:17" x14ac:dyDescent="0.25">
      <c r="A79">
        <v>243707.8719</v>
      </c>
      <c r="B79">
        <v>250794.2213</v>
      </c>
      <c r="C79">
        <v>7494</v>
      </c>
    </row>
    <row r="80" spans="1:17" x14ac:dyDescent="0.25">
      <c r="A80">
        <v>94849.743799999997</v>
      </c>
      <c r="B80">
        <v>90571.588919999995</v>
      </c>
      <c r="C80">
        <v>2707</v>
      </c>
    </row>
    <row r="81" spans="1:3" x14ac:dyDescent="0.25">
      <c r="A81">
        <v>92386.783070000005</v>
      </c>
      <c r="B81">
        <v>88255.840989999997</v>
      </c>
      <c r="C81">
        <v>2637</v>
      </c>
    </row>
    <row r="82" spans="1:3" x14ac:dyDescent="0.25">
      <c r="A82">
        <v>180394.82769999999</v>
      </c>
      <c r="B82">
        <v>172344.30439999999</v>
      </c>
      <c r="C82">
        <v>5149</v>
      </c>
    </row>
    <row r="83" spans="1:3" x14ac:dyDescent="0.25">
      <c r="A83">
        <v>200939.6924</v>
      </c>
      <c r="B83">
        <v>192019.14430000001</v>
      </c>
      <c r="C83">
        <v>5735</v>
      </c>
    </row>
    <row r="84" spans="1:3" x14ac:dyDescent="0.25">
      <c r="A84">
        <v>172953.9247</v>
      </c>
      <c r="B84">
        <v>165201.30499999999</v>
      </c>
      <c r="C84">
        <v>4936</v>
      </c>
    </row>
    <row r="85" spans="1:3" x14ac:dyDescent="0.25">
      <c r="A85">
        <v>70194.799540000007</v>
      </c>
      <c r="B85">
        <v>67061.622709999996</v>
      </c>
      <c r="C85">
        <v>2003</v>
      </c>
    </row>
    <row r="86" spans="1:3" x14ac:dyDescent="0.25">
      <c r="A86">
        <v>81378.214630000002</v>
      </c>
      <c r="B86">
        <v>77703.646330000003</v>
      </c>
      <c r="C86">
        <v>2323</v>
      </c>
    </row>
    <row r="87" spans="1:3" x14ac:dyDescent="0.25">
      <c r="A87">
        <v>130227.0147</v>
      </c>
      <c r="B87">
        <v>127394.2892</v>
      </c>
      <c r="C87">
        <v>3822</v>
      </c>
    </row>
    <row r="88" spans="1:3" x14ac:dyDescent="0.25">
      <c r="A88">
        <v>125310.0364</v>
      </c>
      <c r="B88">
        <v>122275.1026</v>
      </c>
      <c r="C88">
        <v>3666</v>
      </c>
    </row>
    <row r="89" spans="1:3" x14ac:dyDescent="0.25">
      <c r="A89">
        <v>119452.33960000001</v>
      </c>
      <c r="B89">
        <v>118186.575</v>
      </c>
      <c r="C89">
        <v>3543</v>
      </c>
    </row>
    <row r="90" spans="1:3" x14ac:dyDescent="0.25">
      <c r="A90">
        <v>276174.76929999999</v>
      </c>
      <c r="B90">
        <v>271550.89559999999</v>
      </c>
      <c r="C90">
        <v>8130</v>
      </c>
    </row>
    <row r="91" spans="1:3" x14ac:dyDescent="0.25">
      <c r="A91">
        <v>357369.26689999999</v>
      </c>
      <c r="B91">
        <v>352250.83010000002</v>
      </c>
      <c r="C91">
        <v>10518</v>
      </c>
    </row>
    <row r="92" spans="1:3" x14ac:dyDescent="0.25">
      <c r="A92">
        <v>163865.4903</v>
      </c>
      <c r="B92">
        <v>160525.42689999999</v>
      </c>
      <c r="C92">
        <v>4791</v>
      </c>
    </row>
    <row r="93" spans="1:3" x14ac:dyDescent="0.25">
      <c r="A93">
        <v>190719.6145</v>
      </c>
      <c r="B93">
        <v>187072.59520000001</v>
      </c>
      <c r="C93">
        <v>5583</v>
      </c>
    </row>
    <row r="94" spans="1:3" x14ac:dyDescent="0.25">
      <c r="A94">
        <v>244535.2052</v>
      </c>
      <c r="B94">
        <v>239700.68479999999</v>
      </c>
      <c r="C94">
        <v>7155</v>
      </c>
    </row>
    <row r="95" spans="1:3" x14ac:dyDescent="0.25">
      <c r="A95">
        <v>155620.50380000001</v>
      </c>
      <c r="B95">
        <v>153366.01879999999</v>
      </c>
      <c r="C95">
        <v>4575</v>
      </c>
    </row>
    <row r="96" spans="1:3" x14ac:dyDescent="0.25">
      <c r="A96">
        <v>136001.97820000001</v>
      </c>
      <c r="B96">
        <v>134523.0686</v>
      </c>
      <c r="C96">
        <v>3997</v>
      </c>
    </row>
    <row r="97" spans="1:3" x14ac:dyDescent="0.25">
      <c r="A97">
        <v>190559.88750000001</v>
      </c>
      <c r="B97">
        <v>187742.3</v>
      </c>
      <c r="C97">
        <v>5558</v>
      </c>
    </row>
    <row r="98" spans="1:3" x14ac:dyDescent="0.25">
      <c r="A98">
        <v>217110.5025</v>
      </c>
      <c r="B98">
        <v>213540.73420000001</v>
      </c>
      <c r="C98">
        <v>6320</v>
      </c>
    </row>
    <row r="99" spans="1:3" x14ac:dyDescent="0.25">
      <c r="A99">
        <v>119190.1</v>
      </c>
      <c r="B99">
        <v>116856.3146</v>
      </c>
      <c r="C99">
        <v>3447</v>
      </c>
    </row>
    <row r="100" spans="1:3" x14ac:dyDescent="0.25">
      <c r="A100">
        <v>131910.19750000001</v>
      </c>
      <c r="B100">
        <v>130784.44469999999</v>
      </c>
      <c r="C100">
        <v>3854</v>
      </c>
    </row>
    <row r="101" spans="1:3" x14ac:dyDescent="0.25">
      <c r="A101">
        <v>118921.3077</v>
      </c>
      <c r="B101">
        <v>115305.8052</v>
      </c>
      <c r="C101">
        <v>3394</v>
      </c>
    </row>
    <row r="102" spans="1:3" x14ac:dyDescent="0.25">
      <c r="A102">
        <v>124828.2828</v>
      </c>
      <c r="B102">
        <v>121264.7031</v>
      </c>
      <c r="C102">
        <v>3563</v>
      </c>
    </row>
    <row r="103" spans="1:3" x14ac:dyDescent="0.25">
      <c r="A103">
        <v>179326.4902</v>
      </c>
      <c r="B103">
        <v>183278.5024</v>
      </c>
      <c r="C103">
        <v>5380</v>
      </c>
    </row>
    <row r="104" spans="1:3" x14ac:dyDescent="0.25">
      <c r="A104">
        <v>318949.81709999999</v>
      </c>
      <c r="B104">
        <v>326322.52600000001</v>
      </c>
      <c r="C104">
        <v>9573</v>
      </c>
    </row>
    <row r="105" spans="1:3" x14ac:dyDescent="0.25">
      <c r="A105">
        <v>375031.10930000001</v>
      </c>
      <c r="B105">
        <v>383727.19400000002</v>
      </c>
      <c r="C105">
        <v>11250</v>
      </c>
    </row>
    <row r="106" spans="1:3" x14ac:dyDescent="0.25">
      <c r="A106">
        <v>166393.54070000001</v>
      </c>
      <c r="B106">
        <v>170061.86410000001</v>
      </c>
      <c r="C106">
        <v>4990</v>
      </c>
    </row>
    <row r="107" spans="1:3" x14ac:dyDescent="0.25">
      <c r="A107">
        <v>193652.3278</v>
      </c>
      <c r="B107">
        <v>198212.0687</v>
      </c>
      <c r="C107">
        <v>5810</v>
      </c>
    </row>
    <row r="108" spans="1:3" x14ac:dyDescent="0.25">
      <c r="A108">
        <v>249805.5172</v>
      </c>
      <c r="B108">
        <v>255956.65400000001</v>
      </c>
      <c r="C108">
        <v>7497</v>
      </c>
    </row>
    <row r="109" spans="1:3" x14ac:dyDescent="0.25">
      <c r="A109">
        <v>294023.41090000002</v>
      </c>
      <c r="B109">
        <v>301522.35230000003</v>
      </c>
      <c r="C109">
        <v>8821</v>
      </c>
    </row>
    <row r="110" spans="1:3" x14ac:dyDescent="0.25">
      <c r="A110">
        <v>612236.00580000004</v>
      </c>
      <c r="B110">
        <v>627927.75870000001</v>
      </c>
      <c r="C110">
        <v>18366</v>
      </c>
    </row>
    <row r="111" spans="1:3" x14ac:dyDescent="0.25">
      <c r="A111">
        <v>464815.51789999998</v>
      </c>
      <c r="B111">
        <v>476692.54369999998</v>
      </c>
      <c r="C111">
        <v>13940</v>
      </c>
    </row>
    <row r="112" spans="1:3" x14ac:dyDescent="0.25">
      <c r="A112">
        <v>360480.94040000002</v>
      </c>
      <c r="B112">
        <v>369765.6128</v>
      </c>
      <c r="C112">
        <v>10814</v>
      </c>
    </row>
    <row r="113" spans="1:3" x14ac:dyDescent="0.25">
      <c r="A113">
        <v>114279.5773</v>
      </c>
      <c r="B113">
        <v>117190.8262</v>
      </c>
      <c r="C113">
        <v>3429</v>
      </c>
    </row>
    <row r="114" spans="1:3" x14ac:dyDescent="0.25">
      <c r="A114">
        <v>161170.8204</v>
      </c>
      <c r="B114">
        <v>165415.08379999999</v>
      </c>
      <c r="C114">
        <v>4834</v>
      </c>
    </row>
    <row r="115" spans="1:3" x14ac:dyDescent="0.25">
      <c r="A115">
        <v>182483.1465</v>
      </c>
      <c r="B115">
        <v>187344.7372</v>
      </c>
      <c r="C115">
        <v>5475</v>
      </c>
    </row>
    <row r="116" spans="1:3" x14ac:dyDescent="0.25">
      <c r="A116">
        <v>109358.41250000001</v>
      </c>
      <c r="B116">
        <v>106849.8988</v>
      </c>
      <c r="C116">
        <v>3121</v>
      </c>
    </row>
    <row r="117" spans="1:3" x14ac:dyDescent="0.25">
      <c r="A117">
        <v>98430.114109999995</v>
      </c>
      <c r="B117">
        <v>96197.482229999994</v>
      </c>
      <c r="C117">
        <v>2809</v>
      </c>
    </row>
    <row r="118" spans="1:3" x14ac:dyDescent="0.25">
      <c r="A118">
        <v>295741.34700000001</v>
      </c>
      <c r="B118">
        <v>292327.02830000001</v>
      </c>
      <c r="C118">
        <v>8537</v>
      </c>
    </row>
    <row r="119" spans="1:3" x14ac:dyDescent="0.25">
      <c r="A119">
        <v>285053.97989999998</v>
      </c>
      <c r="B119">
        <v>281159.58110000001</v>
      </c>
      <c r="C119">
        <v>8209</v>
      </c>
    </row>
    <row r="120" spans="1:3" x14ac:dyDescent="0.25">
      <c r="A120">
        <v>124964.7965</v>
      </c>
      <c r="B120">
        <v>123042.159</v>
      </c>
      <c r="C120">
        <v>3592</v>
      </c>
    </row>
    <row r="121" spans="1:3" x14ac:dyDescent="0.25">
      <c r="A121">
        <v>124175.80839999999</v>
      </c>
      <c r="B121">
        <v>122516.06570000001</v>
      </c>
      <c r="C121">
        <v>3576</v>
      </c>
    </row>
    <row r="122" spans="1:3" x14ac:dyDescent="0.25">
      <c r="A122">
        <v>131842.5716</v>
      </c>
      <c r="B122">
        <v>130405.26390000001</v>
      </c>
      <c r="C122">
        <v>3807</v>
      </c>
    </row>
    <row r="123" spans="1:3" x14ac:dyDescent="0.25">
      <c r="A123">
        <v>154850.05729999999</v>
      </c>
      <c r="B123">
        <v>150644.34820000001</v>
      </c>
      <c r="C123">
        <v>4398</v>
      </c>
    </row>
    <row r="124" spans="1:3" x14ac:dyDescent="0.25">
      <c r="A124">
        <v>180294.26869999999</v>
      </c>
      <c r="B124">
        <v>175656.65040000001</v>
      </c>
      <c r="C124">
        <v>5124</v>
      </c>
    </row>
    <row r="125" spans="1:3" x14ac:dyDescent="0.25">
      <c r="A125">
        <v>163849.03580000001</v>
      </c>
      <c r="B125">
        <v>157300.6256</v>
      </c>
      <c r="C125">
        <v>4581</v>
      </c>
    </row>
    <row r="126" spans="1:3" x14ac:dyDescent="0.25">
      <c r="A126">
        <v>131436.79240000001</v>
      </c>
      <c r="B126">
        <v>127601.94469999999</v>
      </c>
      <c r="C126">
        <v>3697</v>
      </c>
    </row>
    <row r="127" spans="1:3" x14ac:dyDescent="0.25">
      <c r="A127">
        <v>93082.043959999995</v>
      </c>
      <c r="B127">
        <v>91601.506540000002</v>
      </c>
      <c r="C127">
        <v>2642</v>
      </c>
    </row>
    <row r="128" spans="1:3" x14ac:dyDescent="0.25">
      <c r="A128">
        <v>110887.01330000001</v>
      </c>
      <c r="B128">
        <v>109460.1532</v>
      </c>
      <c r="C128">
        <v>3154</v>
      </c>
    </row>
    <row r="129" spans="1:3" x14ac:dyDescent="0.25">
      <c r="A129">
        <v>119385.5754</v>
      </c>
      <c r="B129">
        <v>115693.1066</v>
      </c>
      <c r="C129">
        <v>3324</v>
      </c>
    </row>
    <row r="130" spans="1:3" x14ac:dyDescent="0.25">
      <c r="A130">
        <v>91719.589380000005</v>
      </c>
      <c r="B130">
        <v>93157.170580000005</v>
      </c>
      <c r="C130">
        <v>2677</v>
      </c>
    </row>
    <row r="131" spans="1:3" x14ac:dyDescent="0.25">
      <c r="A131">
        <v>96335.448950000005</v>
      </c>
      <c r="B131">
        <v>93696.216140000004</v>
      </c>
      <c r="C131">
        <v>2683</v>
      </c>
    </row>
    <row r="132" spans="1:3" x14ac:dyDescent="0.25">
      <c r="A132">
        <v>303226.29840000003</v>
      </c>
      <c r="B132">
        <v>325836.94010000001</v>
      </c>
      <c r="C132">
        <v>9328</v>
      </c>
    </row>
    <row r="133" spans="1:3" x14ac:dyDescent="0.25">
      <c r="A133">
        <v>431695.70919999998</v>
      </c>
      <c r="B133">
        <v>465253.81569999998</v>
      </c>
      <c r="C133">
        <v>13306</v>
      </c>
    </row>
    <row r="134" spans="1:3" x14ac:dyDescent="0.25">
      <c r="A134">
        <v>200407.27710000001</v>
      </c>
      <c r="B134">
        <v>215907.82490000001</v>
      </c>
      <c r="C134">
        <v>6173</v>
      </c>
    </row>
    <row r="135" spans="1:3" x14ac:dyDescent="0.25">
      <c r="A135">
        <v>183413.7083</v>
      </c>
      <c r="B135">
        <v>197835.4951</v>
      </c>
      <c r="C135">
        <v>5653</v>
      </c>
    </row>
    <row r="136" spans="1:3" x14ac:dyDescent="0.25">
      <c r="A136">
        <v>146166.6011</v>
      </c>
      <c r="B136">
        <v>157693.1893</v>
      </c>
      <c r="C136">
        <v>4503</v>
      </c>
    </row>
    <row r="137" spans="1:3" x14ac:dyDescent="0.25">
      <c r="A137">
        <v>201120.72760000001</v>
      </c>
      <c r="B137">
        <v>218098.76190000001</v>
      </c>
      <c r="C137">
        <v>6253</v>
      </c>
    </row>
    <row r="138" spans="1:3" x14ac:dyDescent="0.25">
      <c r="A138">
        <v>270123.55080000003</v>
      </c>
      <c r="B138">
        <v>289864.79849999998</v>
      </c>
      <c r="C138">
        <v>8408</v>
      </c>
    </row>
    <row r="139" spans="1:3" x14ac:dyDescent="0.25">
      <c r="A139">
        <v>415315.38390000002</v>
      </c>
      <c r="B139">
        <v>441790.7672</v>
      </c>
      <c r="C139">
        <v>12949</v>
      </c>
    </row>
    <row r="140" spans="1:3" x14ac:dyDescent="0.25">
      <c r="A140">
        <v>498716.9976</v>
      </c>
      <c r="B140">
        <v>526707.37699999998</v>
      </c>
      <c r="C140">
        <v>15508</v>
      </c>
    </row>
    <row r="141" spans="1:3" x14ac:dyDescent="0.25">
      <c r="A141">
        <v>166433.1721</v>
      </c>
      <c r="B141">
        <v>174376.63250000001</v>
      </c>
      <c r="C141">
        <v>5141</v>
      </c>
    </row>
    <row r="142" spans="1:3" x14ac:dyDescent="0.25">
      <c r="A142">
        <v>168520.62940000001</v>
      </c>
      <c r="B142">
        <v>175540.11550000001</v>
      </c>
      <c r="C142">
        <v>5194</v>
      </c>
    </row>
    <row r="143" spans="1:3" x14ac:dyDescent="0.25">
      <c r="A143">
        <v>178123.53210000001</v>
      </c>
      <c r="B143">
        <v>187748.1722</v>
      </c>
      <c r="C143">
        <v>5550</v>
      </c>
    </row>
    <row r="144" spans="1:3" x14ac:dyDescent="0.25">
      <c r="A144">
        <v>194878.8026</v>
      </c>
      <c r="B144">
        <v>204460.6654</v>
      </c>
      <c r="C144">
        <v>6070</v>
      </c>
    </row>
    <row r="145" spans="1:3" x14ac:dyDescent="0.25">
      <c r="A145">
        <v>115475.0969</v>
      </c>
      <c r="B145">
        <v>115011.3226</v>
      </c>
      <c r="C145">
        <v>3421</v>
      </c>
    </row>
    <row r="146" spans="1:3" x14ac:dyDescent="0.25">
      <c r="A146">
        <v>430521.0245</v>
      </c>
      <c r="B146">
        <v>449274.1863</v>
      </c>
      <c r="C146">
        <v>13384</v>
      </c>
    </row>
    <row r="147" spans="1:3" x14ac:dyDescent="0.25">
      <c r="A147">
        <v>590642.82570000004</v>
      </c>
      <c r="B147">
        <v>614245.79410000006</v>
      </c>
      <c r="C147">
        <v>18356</v>
      </c>
    </row>
    <row r="148" spans="1:3" x14ac:dyDescent="0.25">
      <c r="A148">
        <v>210764.71799999999</v>
      </c>
      <c r="B148">
        <v>217364.46299999999</v>
      </c>
      <c r="C148">
        <v>6500</v>
      </c>
    </row>
    <row r="149" spans="1:3" x14ac:dyDescent="0.25">
      <c r="A149">
        <v>218189.34849999999</v>
      </c>
      <c r="B149">
        <v>225607.59520000001</v>
      </c>
      <c r="C149">
        <v>6752</v>
      </c>
    </row>
    <row r="150" spans="1:3" x14ac:dyDescent="0.25">
      <c r="A150">
        <v>226132.4639</v>
      </c>
      <c r="B150">
        <v>234496.5128</v>
      </c>
      <c r="C150">
        <v>7023</v>
      </c>
    </row>
    <row r="151" spans="1:3" x14ac:dyDescent="0.25">
      <c r="A151">
        <v>243720.86799999999</v>
      </c>
      <c r="B151">
        <v>252929.2947</v>
      </c>
      <c r="C151">
        <v>7579</v>
      </c>
    </row>
    <row r="152" spans="1:3" x14ac:dyDescent="0.25">
      <c r="A152">
        <v>207429.429</v>
      </c>
      <c r="B152">
        <v>215118.84650000001</v>
      </c>
      <c r="C152">
        <v>6448</v>
      </c>
    </row>
    <row r="153" spans="1:3" x14ac:dyDescent="0.25">
      <c r="A153">
        <v>503149.4313</v>
      </c>
      <c r="B153">
        <v>521651.08610000001</v>
      </c>
      <c r="C153">
        <v>15637</v>
      </c>
    </row>
    <row r="154" spans="1:3" x14ac:dyDescent="0.25">
      <c r="A154">
        <v>603748.78949999996</v>
      </c>
      <c r="B154">
        <v>626259.38679999998</v>
      </c>
      <c r="C154">
        <v>18775</v>
      </c>
    </row>
    <row r="155" spans="1:3" x14ac:dyDescent="0.25">
      <c r="A155">
        <v>456017.46309999999</v>
      </c>
      <c r="B155">
        <v>473223.98070000001</v>
      </c>
      <c r="C155">
        <v>14188</v>
      </c>
    </row>
    <row r="156" spans="1:3" x14ac:dyDescent="0.25">
      <c r="A156">
        <v>425845.196</v>
      </c>
      <c r="B156">
        <v>442155.99119999999</v>
      </c>
      <c r="C156">
        <v>13256</v>
      </c>
    </row>
    <row r="157" spans="1:3" x14ac:dyDescent="0.25">
      <c r="A157">
        <v>328217.77</v>
      </c>
      <c r="B157">
        <v>340913.59169999999</v>
      </c>
      <c r="C157">
        <v>10223</v>
      </c>
    </row>
    <row r="158" spans="1:3" x14ac:dyDescent="0.25">
      <c r="A158">
        <v>286405.9988</v>
      </c>
      <c r="B158">
        <v>296902.67249999999</v>
      </c>
      <c r="C158">
        <v>8904</v>
      </c>
    </row>
    <row r="159" spans="1:3" x14ac:dyDescent="0.25">
      <c r="A159">
        <v>184989.88870000001</v>
      </c>
      <c r="B159">
        <v>192824.89009999999</v>
      </c>
      <c r="C159">
        <v>5783</v>
      </c>
    </row>
    <row r="160" spans="1:3" x14ac:dyDescent="0.25">
      <c r="A160">
        <v>288118.30440000002</v>
      </c>
      <c r="B160">
        <v>300213.55940000003</v>
      </c>
      <c r="C160">
        <v>9005</v>
      </c>
    </row>
    <row r="161" spans="1:3" x14ac:dyDescent="0.25">
      <c r="A161">
        <v>391930.87800000003</v>
      </c>
      <c r="B161">
        <v>407438.91960000002</v>
      </c>
      <c r="C161">
        <v>12222</v>
      </c>
    </row>
    <row r="162" spans="1:3" x14ac:dyDescent="0.25">
      <c r="A162">
        <v>193772.58110000001</v>
      </c>
      <c r="B162">
        <v>201254.71249999999</v>
      </c>
      <c r="C162">
        <v>6037</v>
      </c>
    </row>
    <row r="163" spans="1:3" x14ac:dyDescent="0.25">
      <c r="A163">
        <v>214177.9834</v>
      </c>
      <c r="B163">
        <v>220255.21919999999</v>
      </c>
      <c r="C163">
        <v>6607</v>
      </c>
    </row>
    <row r="164" spans="1:3" x14ac:dyDescent="0.25">
      <c r="A164">
        <v>188334.52119999999</v>
      </c>
      <c r="B164">
        <v>195254.78099999999</v>
      </c>
      <c r="C164">
        <v>5857</v>
      </c>
    </row>
    <row r="165" spans="1:3" x14ac:dyDescent="0.25">
      <c r="A165">
        <v>174324.99479999999</v>
      </c>
      <c r="B165">
        <v>180978.601</v>
      </c>
      <c r="C165">
        <v>5429</v>
      </c>
    </row>
    <row r="166" spans="1:3" x14ac:dyDescent="0.25">
      <c r="A166">
        <v>200271.5643</v>
      </c>
      <c r="B166">
        <v>207757.70300000001</v>
      </c>
      <c r="C166">
        <v>6232</v>
      </c>
    </row>
    <row r="167" spans="1:3" x14ac:dyDescent="0.25">
      <c r="A167">
        <v>468701.63020000001</v>
      </c>
      <c r="B167">
        <v>486180.54440000001</v>
      </c>
      <c r="C167">
        <v>14585</v>
      </c>
    </row>
    <row r="168" spans="1:3" x14ac:dyDescent="0.25">
      <c r="A168">
        <v>473425.75420000002</v>
      </c>
      <c r="B168">
        <v>492135.29229999997</v>
      </c>
      <c r="C168">
        <v>14745</v>
      </c>
    </row>
    <row r="169" spans="1:3" x14ac:dyDescent="0.25">
      <c r="A169">
        <v>224232.1214</v>
      </c>
      <c r="B169">
        <v>233554.03219999999</v>
      </c>
      <c r="C169">
        <v>6991</v>
      </c>
    </row>
    <row r="170" spans="1:3" x14ac:dyDescent="0.25">
      <c r="A170">
        <v>185606.27499999999</v>
      </c>
      <c r="B170">
        <v>193340.31539999999</v>
      </c>
      <c r="C170">
        <v>5788</v>
      </c>
    </row>
    <row r="171" spans="1:3" x14ac:dyDescent="0.25">
      <c r="A171">
        <v>212687.50940000001</v>
      </c>
      <c r="B171">
        <v>221403.64499999999</v>
      </c>
      <c r="C171">
        <v>6632</v>
      </c>
    </row>
    <row r="172" spans="1:3" x14ac:dyDescent="0.25">
      <c r="A172">
        <v>184259.6924</v>
      </c>
      <c r="B172">
        <v>192057.51079999999</v>
      </c>
      <c r="C172">
        <v>5752</v>
      </c>
    </row>
    <row r="173" spans="1:3" x14ac:dyDescent="0.25">
      <c r="A173">
        <v>113735.8162</v>
      </c>
      <c r="B173">
        <v>119544.01979999999</v>
      </c>
      <c r="C173">
        <v>3578</v>
      </c>
    </row>
    <row r="174" spans="1:3" x14ac:dyDescent="0.25">
      <c r="A174">
        <v>203165.08300000001</v>
      </c>
      <c r="B174">
        <v>205350.64309999999</v>
      </c>
      <c r="C174">
        <v>6119</v>
      </c>
    </row>
    <row r="175" spans="1:3" x14ac:dyDescent="0.25">
      <c r="A175">
        <v>203345.24460000001</v>
      </c>
      <c r="B175">
        <v>206918.91260000001</v>
      </c>
      <c r="C175">
        <v>6161</v>
      </c>
    </row>
    <row r="176" spans="1:3" x14ac:dyDescent="0.25">
      <c r="A176">
        <v>134944.489</v>
      </c>
      <c r="B176">
        <v>135372.527</v>
      </c>
      <c r="C176">
        <v>4015</v>
      </c>
    </row>
    <row r="177" spans="1:3" x14ac:dyDescent="0.25">
      <c r="A177">
        <v>138298.2102</v>
      </c>
      <c r="B177">
        <v>139206.0269</v>
      </c>
      <c r="C177">
        <v>4133</v>
      </c>
    </row>
    <row r="178" spans="1:3" x14ac:dyDescent="0.25">
      <c r="A178">
        <v>36692.679859999997</v>
      </c>
      <c r="B178">
        <v>35299.06424</v>
      </c>
      <c r="C178">
        <v>1047</v>
      </c>
    </row>
    <row r="179" spans="1:3" x14ac:dyDescent="0.25">
      <c r="A179">
        <v>56077.542690000002</v>
      </c>
      <c r="B179">
        <v>53925.25763</v>
      </c>
      <c r="C179">
        <v>1601</v>
      </c>
    </row>
    <row r="180" spans="1:3" x14ac:dyDescent="0.25">
      <c r="A180">
        <v>55780.707450000002</v>
      </c>
      <c r="B180">
        <v>53688.241199999997</v>
      </c>
      <c r="C180">
        <v>1592</v>
      </c>
    </row>
    <row r="181" spans="1:3" x14ac:dyDescent="0.25">
      <c r="A181">
        <v>131721.2383</v>
      </c>
      <c r="B181">
        <v>127302.4271</v>
      </c>
      <c r="C181">
        <v>3759</v>
      </c>
    </row>
    <row r="182" spans="1:3" x14ac:dyDescent="0.25">
      <c r="A182">
        <v>146169.0766</v>
      </c>
      <c r="B182">
        <v>141012.32939999999</v>
      </c>
      <c r="C182">
        <v>4172</v>
      </c>
    </row>
    <row r="183" spans="1:3" x14ac:dyDescent="0.25">
      <c r="A183">
        <v>62073.58541</v>
      </c>
      <c r="B183">
        <v>60083.869839999999</v>
      </c>
      <c r="C183">
        <v>1772</v>
      </c>
    </row>
    <row r="184" spans="1:3" x14ac:dyDescent="0.25">
      <c r="A184">
        <v>93619.846990000005</v>
      </c>
      <c r="B184">
        <v>90294.376090000005</v>
      </c>
      <c r="C184">
        <v>2672</v>
      </c>
    </row>
    <row r="185" spans="1:3" x14ac:dyDescent="0.25">
      <c r="A185">
        <v>180183.03140000001</v>
      </c>
      <c r="B185">
        <v>173842.9209</v>
      </c>
      <c r="C185">
        <v>5143</v>
      </c>
    </row>
    <row r="186" spans="1:3" x14ac:dyDescent="0.25">
      <c r="A186">
        <v>104760.7062</v>
      </c>
      <c r="B186">
        <v>101615.732</v>
      </c>
      <c r="C186">
        <v>2990</v>
      </c>
    </row>
    <row r="187" spans="1:3" x14ac:dyDescent="0.25">
      <c r="A187">
        <v>93450.533679999993</v>
      </c>
      <c r="B187">
        <v>90927.089659999998</v>
      </c>
      <c r="C187">
        <v>2667</v>
      </c>
    </row>
    <row r="188" spans="1:3" x14ac:dyDescent="0.25">
      <c r="A188">
        <v>98087.555900000007</v>
      </c>
      <c r="B188">
        <v>95423.273990000002</v>
      </c>
      <c r="C188">
        <v>2799</v>
      </c>
    </row>
    <row r="189" spans="1:3" x14ac:dyDescent="0.25">
      <c r="A189">
        <v>117562.2629</v>
      </c>
      <c r="B189">
        <v>114395.62760000001</v>
      </c>
      <c r="C189">
        <v>3355</v>
      </c>
    </row>
    <row r="190" spans="1:3" x14ac:dyDescent="0.25">
      <c r="A190">
        <v>70153.080969999995</v>
      </c>
      <c r="B190">
        <v>68252.242209999997</v>
      </c>
      <c r="C190">
        <v>2002</v>
      </c>
    </row>
    <row r="191" spans="1:3" x14ac:dyDescent="0.25">
      <c r="A191">
        <v>68918.415290000004</v>
      </c>
      <c r="B191">
        <v>66990.881349999996</v>
      </c>
      <c r="C191">
        <v>1967</v>
      </c>
    </row>
    <row r="192" spans="1:3" x14ac:dyDescent="0.25">
      <c r="A192">
        <v>108417.4028</v>
      </c>
      <c r="B192">
        <v>105373.3</v>
      </c>
      <c r="C192">
        <v>3094</v>
      </c>
    </row>
    <row r="193" spans="1:3" x14ac:dyDescent="0.25">
      <c r="A193">
        <v>81802.608210000006</v>
      </c>
      <c r="B193">
        <v>79496.49424</v>
      </c>
      <c r="C193">
        <v>2335</v>
      </c>
    </row>
    <row r="194" spans="1:3" x14ac:dyDescent="0.25">
      <c r="A194">
        <v>103998.5597</v>
      </c>
      <c r="B194">
        <v>101270.9711</v>
      </c>
      <c r="C194">
        <v>2968</v>
      </c>
    </row>
    <row r="195" spans="1:3" x14ac:dyDescent="0.25">
      <c r="A195">
        <v>134018.08929999999</v>
      </c>
      <c r="B195">
        <v>130633.26270000001</v>
      </c>
      <c r="C195">
        <v>3825</v>
      </c>
    </row>
    <row r="196" spans="1:3" x14ac:dyDescent="0.25">
      <c r="A196">
        <v>99277.299499999994</v>
      </c>
      <c r="B196">
        <v>96688.497810000001</v>
      </c>
      <c r="C196">
        <v>2833</v>
      </c>
    </row>
    <row r="197" spans="1:3" x14ac:dyDescent="0.25">
      <c r="A197">
        <v>49705.232000000004</v>
      </c>
      <c r="B197">
        <v>48370.308989999998</v>
      </c>
      <c r="C197">
        <v>1419</v>
      </c>
    </row>
    <row r="198" spans="1:3" x14ac:dyDescent="0.25">
      <c r="A198">
        <v>75384.574550000005</v>
      </c>
      <c r="B198">
        <v>73393.446590000007</v>
      </c>
      <c r="C198">
        <v>2151</v>
      </c>
    </row>
    <row r="199" spans="1:3" x14ac:dyDescent="0.25">
      <c r="A199">
        <v>110288.23420000001</v>
      </c>
      <c r="B199">
        <v>107437.38099999999</v>
      </c>
      <c r="C199">
        <v>3148</v>
      </c>
    </row>
    <row r="200" spans="1:3" x14ac:dyDescent="0.25">
      <c r="A200">
        <v>156536.6862</v>
      </c>
      <c r="B200">
        <v>164641.35399999999</v>
      </c>
      <c r="C200">
        <v>4825</v>
      </c>
    </row>
    <row r="201" spans="1:3" x14ac:dyDescent="0.25">
      <c r="A201">
        <v>80823.059200000003</v>
      </c>
      <c r="B201">
        <v>78844.860499999995</v>
      </c>
      <c r="C201">
        <v>2307</v>
      </c>
    </row>
    <row r="202" spans="1:3" x14ac:dyDescent="0.25">
      <c r="A202">
        <v>124615.6856</v>
      </c>
      <c r="B202">
        <v>121612.1789</v>
      </c>
      <c r="C202">
        <v>3557</v>
      </c>
    </row>
    <row r="203" spans="1:3" x14ac:dyDescent="0.25">
      <c r="A203">
        <v>242758.95050000001</v>
      </c>
      <c r="B203">
        <v>255779.85449999999</v>
      </c>
      <c r="C203">
        <v>7485</v>
      </c>
    </row>
    <row r="204" spans="1:3" x14ac:dyDescent="0.25">
      <c r="A204">
        <v>85078.243690000003</v>
      </c>
      <c r="B204">
        <v>83020.514129999996</v>
      </c>
      <c r="C204">
        <v>2428</v>
      </c>
    </row>
    <row r="205" spans="1:3" x14ac:dyDescent="0.25">
      <c r="A205">
        <v>86738.067429999996</v>
      </c>
      <c r="B205">
        <v>84643.271829999998</v>
      </c>
      <c r="C205">
        <v>2475</v>
      </c>
    </row>
    <row r="206" spans="1:3" x14ac:dyDescent="0.25">
      <c r="A206">
        <v>56673.615810000003</v>
      </c>
      <c r="B206">
        <v>55278.707829999999</v>
      </c>
      <c r="C206">
        <v>1618</v>
      </c>
    </row>
    <row r="207" spans="1:3" x14ac:dyDescent="0.25">
      <c r="A207">
        <v>165742.17050000001</v>
      </c>
      <c r="B207">
        <v>173725.35750000001</v>
      </c>
      <c r="C207">
        <v>5106</v>
      </c>
    </row>
    <row r="208" spans="1:3" x14ac:dyDescent="0.25">
      <c r="A208">
        <v>95618.248800000001</v>
      </c>
      <c r="B208">
        <v>92416.903839999999</v>
      </c>
      <c r="C208">
        <v>2729</v>
      </c>
    </row>
    <row r="209" spans="1:3" x14ac:dyDescent="0.25">
      <c r="A209">
        <v>515698.79580000002</v>
      </c>
      <c r="B209">
        <v>538260.27179999999</v>
      </c>
      <c r="C209">
        <v>15897</v>
      </c>
    </row>
    <row r="210" spans="1:3" x14ac:dyDescent="0.25">
      <c r="A210">
        <v>562590.3665</v>
      </c>
      <c r="B210">
        <v>586670.51410000003</v>
      </c>
      <c r="C210">
        <v>17343</v>
      </c>
    </row>
    <row r="211" spans="1:3" x14ac:dyDescent="0.25">
      <c r="A211">
        <v>266305.92589999997</v>
      </c>
      <c r="B211">
        <v>277238.01040000003</v>
      </c>
      <c r="C211">
        <v>8207</v>
      </c>
    </row>
    <row r="212" spans="1:3" x14ac:dyDescent="0.25">
      <c r="A212">
        <v>292634.74570000003</v>
      </c>
      <c r="B212">
        <v>304508.37900000002</v>
      </c>
      <c r="C212">
        <v>9018</v>
      </c>
    </row>
    <row r="213" spans="1:3" x14ac:dyDescent="0.25">
      <c r="A213">
        <v>212360.99309999999</v>
      </c>
      <c r="B213">
        <v>221017.07310000001</v>
      </c>
      <c r="C213">
        <v>6548</v>
      </c>
    </row>
    <row r="214" spans="1:3" x14ac:dyDescent="0.25">
      <c r="A214">
        <v>198019.3321</v>
      </c>
      <c r="B214">
        <v>205903.82490000001</v>
      </c>
      <c r="C214">
        <v>6102</v>
      </c>
    </row>
    <row r="215" spans="1:3" x14ac:dyDescent="0.25">
      <c r="A215">
        <v>295508.3273</v>
      </c>
      <c r="B215">
        <v>307222.39539999998</v>
      </c>
      <c r="C215">
        <v>9108</v>
      </c>
    </row>
    <row r="216" spans="1:3" x14ac:dyDescent="0.25">
      <c r="A216">
        <v>611894.67319999996</v>
      </c>
      <c r="B216">
        <v>636341.31590000005</v>
      </c>
      <c r="C216">
        <v>18867</v>
      </c>
    </row>
    <row r="217" spans="1:3" x14ac:dyDescent="0.25">
      <c r="A217">
        <v>628685.21880000003</v>
      </c>
      <c r="B217">
        <v>653779.96349999995</v>
      </c>
      <c r="C217">
        <v>19384</v>
      </c>
    </row>
    <row r="218" spans="1:3" x14ac:dyDescent="0.25">
      <c r="A218">
        <v>307272.68369999999</v>
      </c>
      <c r="B218">
        <v>319500.00949999999</v>
      </c>
      <c r="C218">
        <v>9473</v>
      </c>
    </row>
    <row r="219" spans="1:3" x14ac:dyDescent="0.25">
      <c r="A219">
        <v>362106.53259999998</v>
      </c>
      <c r="B219">
        <v>376645.75089999998</v>
      </c>
      <c r="C219">
        <v>11170</v>
      </c>
    </row>
    <row r="220" spans="1:3" x14ac:dyDescent="0.25">
      <c r="A220">
        <v>262349.59100000001</v>
      </c>
      <c r="B220">
        <v>272809.2904</v>
      </c>
      <c r="C220">
        <v>8091</v>
      </c>
    </row>
    <row r="221" spans="1:3" x14ac:dyDescent="0.25">
      <c r="A221">
        <v>80697.9035</v>
      </c>
      <c r="B221">
        <v>77649.636530000003</v>
      </c>
      <c r="C221">
        <v>2303</v>
      </c>
    </row>
    <row r="222" spans="1:3" x14ac:dyDescent="0.25">
      <c r="A222">
        <v>103272.62270000001</v>
      </c>
      <c r="B222">
        <v>99367.233219999995</v>
      </c>
      <c r="C222">
        <v>2947</v>
      </c>
    </row>
    <row r="223" spans="1:3" x14ac:dyDescent="0.25">
      <c r="A223">
        <v>439421.42210000003</v>
      </c>
      <c r="B223">
        <v>456509.62190000003</v>
      </c>
      <c r="C223">
        <v>13542</v>
      </c>
    </row>
    <row r="224" spans="1:3" x14ac:dyDescent="0.25">
      <c r="A224">
        <v>408616.35060000001</v>
      </c>
      <c r="B224">
        <v>424340.94939999998</v>
      </c>
      <c r="C224">
        <v>12588</v>
      </c>
    </row>
    <row r="225" spans="1:3" x14ac:dyDescent="0.25">
      <c r="A225">
        <v>195866.77299999999</v>
      </c>
      <c r="B225">
        <v>203331.43479999999</v>
      </c>
      <c r="C225">
        <v>6032</v>
      </c>
    </row>
    <row r="226" spans="1:3" x14ac:dyDescent="0.25">
      <c r="A226">
        <v>232347.35320000001</v>
      </c>
      <c r="B226">
        <v>241134.52780000001</v>
      </c>
      <c r="C226">
        <v>7158</v>
      </c>
    </row>
    <row r="227" spans="1:3" x14ac:dyDescent="0.25">
      <c r="A227">
        <v>190325.18109999999</v>
      </c>
      <c r="B227">
        <v>197438.1116</v>
      </c>
      <c r="C227">
        <v>5863</v>
      </c>
    </row>
    <row r="228" spans="1:3" x14ac:dyDescent="0.25">
      <c r="A228">
        <v>197698.11859999999</v>
      </c>
      <c r="B228">
        <v>205114.12890000001</v>
      </c>
      <c r="C228">
        <v>6092</v>
      </c>
    </row>
    <row r="229" spans="1:3" x14ac:dyDescent="0.25">
      <c r="A229">
        <v>177908.83559999999</v>
      </c>
      <c r="B229">
        <v>184687.52910000001</v>
      </c>
      <c r="C229">
        <v>5485</v>
      </c>
    </row>
    <row r="230" spans="1:3" x14ac:dyDescent="0.25">
      <c r="A230">
        <v>473321.88250000001</v>
      </c>
      <c r="B230">
        <v>491559.42300000001</v>
      </c>
      <c r="C230">
        <v>14587</v>
      </c>
    </row>
    <row r="231" spans="1:3" x14ac:dyDescent="0.25">
      <c r="A231">
        <v>541600.8922</v>
      </c>
      <c r="B231">
        <v>562953.37080000003</v>
      </c>
      <c r="C231">
        <v>16686</v>
      </c>
    </row>
    <row r="232" spans="1:3" x14ac:dyDescent="0.25">
      <c r="A232">
        <v>239513.97899999999</v>
      </c>
      <c r="B232">
        <v>249203.1208</v>
      </c>
      <c r="C232">
        <v>7380</v>
      </c>
    </row>
    <row r="233" spans="1:3" x14ac:dyDescent="0.25">
      <c r="A233">
        <v>255224.22260000001</v>
      </c>
      <c r="B233">
        <v>265532.54619999998</v>
      </c>
      <c r="C233">
        <v>7864</v>
      </c>
    </row>
    <row r="234" spans="1:3" x14ac:dyDescent="0.25">
      <c r="A234">
        <v>160372.03969999999</v>
      </c>
      <c r="B234">
        <v>167021.15779999999</v>
      </c>
      <c r="C234">
        <v>4941</v>
      </c>
    </row>
    <row r="235" spans="1:3" x14ac:dyDescent="0.25">
      <c r="A235">
        <v>171587.33230000001</v>
      </c>
      <c r="B235">
        <v>174723.17540000001</v>
      </c>
      <c r="C235">
        <v>5151</v>
      </c>
    </row>
    <row r="236" spans="1:3" x14ac:dyDescent="0.25">
      <c r="A236">
        <v>164208.0606</v>
      </c>
      <c r="B236">
        <v>167239.6488</v>
      </c>
      <c r="C236">
        <v>4928</v>
      </c>
    </row>
    <row r="237" spans="1:3" x14ac:dyDescent="0.25">
      <c r="A237">
        <v>376778.8357</v>
      </c>
      <c r="B237">
        <v>384006.0453</v>
      </c>
      <c r="C237">
        <v>11309</v>
      </c>
    </row>
    <row r="238" spans="1:3" x14ac:dyDescent="0.25">
      <c r="A238">
        <v>453633.47399999999</v>
      </c>
      <c r="B238">
        <v>463250.07130000001</v>
      </c>
      <c r="C238">
        <v>13613</v>
      </c>
    </row>
    <row r="239" spans="1:3" x14ac:dyDescent="0.25">
      <c r="A239">
        <v>214392.40090000001</v>
      </c>
      <c r="B239">
        <v>218347.7978</v>
      </c>
      <c r="C239">
        <v>6424</v>
      </c>
    </row>
    <row r="240" spans="1:3" x14ac:dyDescent="0.25">
      <c r="A240">
        <v>316404.06229999999</v>
      </c>
      <c r="B240">
        <v>323293.39659999998</v>
      </c>
      <c r="C240">
        <v>9493</v>
      </c>
    </row>
    <row r="241" spans="1:3" x14ac:dyDescent="0.25">
      <c r="A241">
        <v>242824.5013</v>
      </c>
      <c r="B241">
        <v>259860.51250000001</v>
      </c>
      <c r="C241">
        <v>7619</v>
      </c>
    </row>
    <row r="242" spans="1:3" x14ac:dyDescent="0.25">
      <c r="A242">
        <v>274712.25329999998</v>
      </c>
      <c r="B242">
        <v>304334.78460000001</v>
      </c>
      <c r="C242">
        <v>8909</v>
      </c>
    </row>
    <row r="243" spans="1:3" x14ac:dyDescent="0.25">
      <c r="A243">
        <v>258066.16940000001</v>
      </c>
      <c r="B243">
        <v>287168.5661</v>
      </c>
      <c r="C243">
        <v>8400</v>
      </c>
    </row>
    <row r="244" spans="1:3" x14ac:dyDescent="0.25">
      <c r="A244">
        <v>594007.2132</v>
      </c>
      <c r="B244">
        <v>660937.80480000004</v>
      </c>
      <c r="C244">
        <v>19317</v>
      </c>
    </row>
    <row r="245" spans="1:3" x14ac:dyDescent="0.25">
      <c r="A245">
        <v>717096.71279999998</v>
      </c>
      <c r="B245">
        <v>797788.89199999999</v>
      </c>
      <c r="C245">
        <v>23310</v>
      </c>
    </row>
    <row r="246" spans="1:3" x14ac:dyDescent="0.25">
      <c r="A246">
        <v>358170.9963</v>
      </c>
      <c r="B246">
        <v>398562.60739999998</v>
      </c>
      <c r="C246">
        <v>11646</v>
      </c>
    </row>
    <row r="247" spans="1:3" x14ac:dyDescent="0.25">
      <c r="A247">
        <v>594953.63489999995</v>
      </c>
      <c r="B247">
        <v>662850.99080000003</v>
      </c>
      <c r="C247">
        <v>19366</v>
      </c>
    </row>
    <row r="248" spans="1:3" x14ac:dyDescent="0.25">
      <c r="A248">
        <v>469469.94099999999</v>
      </c>
      <c r="B248">
        <v>523480.30330000003</v>
      </c>
      <c r="C248">
        <v>15291</v>
      </c>
    </row>
    <row r="249" spans="1:3" x14ac:dyDescent="0.25">
      <c r="A249">
        <v>464067.79930000001</v>
      </c>
      <c r="B249">
        <v>517180.54330000002</v>
      </c>
      <c r="C249">
        <v>15100</v>
      </c>
    </row>
    <row r="250" spans="1:3" x14ac:dyDescent="0.25">
      <c r="A250">
        <v>312311.95400000003</v>
      </c>
      <c r="B250">
        <v>348177.12050000002</v>
      </c>
      <c r="C250">
        <v>10164</v>
      </c>
    </row>
    <row r="251" spans="1:3" x14ac:dyDescent="0.25">
      <c r="A251">
        <v>501279.00040000002</v>
      </c>
      <c r="B251">
        <v>558766.69030000002</v>
      </c>
      <c r="C251">
        <v>16310</v>
      </c>
    </row>
    <row r="252" spans="1:3" x14ac:dyDescent="0.25">
      <c r="A252">
        <v>552703.90379999997</v>
      </c>
      <c r="B252">
        <v>616169.85140000004</v>
      </c>
      <c r="C252">
        <v>17985</v>
      </c>
    </row>
    <row r="253" spans="1:3" x14ac:dyDescent="0.25">
      <c r="A253">
        <v>234153.7622</v>
      </c>
      <c r="B253">
        <v>261088.38639999999</v>
      </c>
      <c r="C253">
        <v>7620</v>
      </c>
    </row>
    <row r="254" spans="1:3" x14ac:dyDescent="0.25">
      <c r="A254">
        <v>244481.49770000001</v>
      </c>
      <c r="B254">
        <v>272633.39980000001</v>
      </c>
      <c r="C254">
        <v>7958</v>
      </c>
    </row>
    <row r="255" spans="1:3" x14ac:dyDescent="0.25">
      <c r="A255">
        <v>122749.63529999999</v>
      </c>
      <c r="B255">
        <v>120070.95020000001</v>
      </c>
      <c r="C255">
        <v>3503</v>
      </c>
    </row>
    <row r="256" spans="1:3" x14ac:dyDescent="0.25">
      <c r="A256">
        <v>78736.402839999995</v>
      </c>
      <c r="B256">
        <v>77071.542709999994</v>
      </c>
      <c r="C256">
        <v>2247</v>
      </c>
    </row>
    <row r="257" spans="1:3" x14ac:dyDescent="0.25">
      <c r="A257">
        <v>70875.110669999995</v>
      </c>
      <c r="B257">
        <v>69489.360849999997</v>
      </c>
      <c r="C257">
        <v>2023</v>
      </c>
    </row>
    <row r="258" spans="1:3" x14ac:dyDescent="0.25">
      <c r="A258">
        <v>148634.39139999999</v>
      </c>
      <c r="B258">
        <v>145956.1397</v>
      </c>
      <c r="C258">
        <v>4242</v>
      </c>
    </row>
    <row r="259" spans="1:3" x14ac:dyDescent="0.25">
      <c r="A259">
        <v>171724.82879999999</v>
      </c>
      <c r="B259">
        <v>168652.20360000001</v>
      </c>
      <c r="C259">
        <v>4901</v>
      </c>
    </row>
    <row r="260" spans="1:3" x14ac:dyDescent="0.25">
      <c r="A260">
        <v>86435.698829999994</v>
      </c>
      <c r="B260">
        <v>84948.374580000003</v>
      </c>
      <c r="C260">
        <v>2467</v>
      </c>
    </row>
    <row r="261" spans="1:3" x14ac:dyDescent="0.25">
      <c r="A261">
        <v>120236.1827</v>
      </c>
      <c r="B261">
        <v>118094.0432</v>
      </c>
      <c r="C261">
        <v>3432</v>
      </c>
    </row>
    <row r="262" spans="1:3" x14ac:dyDescent="0.25">
      <c r="A262">
        <v>83204.196689999997</v>
      </c>
      <c r="B262">
        <v>81753.424589999995</v>
      </c>
      <c r="C262">
        <v>2375</v>
      </c>
    </row>
    <row r="263" spans="1:3" x14ac:dyDescent="0.25">
      <c r="A263">
        <v>73768.034729999999</v>
      </c>
      <c r="B263">
        <v>72471.919320000001</v>
      </c>
      <c r="C263">
        <v>2105</v>
      </c>
    </row>
    <row r="264" spans="1:3" x14ac:dyDescent="0.25">
      <c r="A264">
        <v>69425.445120000004</v>
      </c>
      <c r="B264">
        <v>68280.383279999995</v>
      </c>
      <c r="C264">
        <v>1982</v>
      </c>
    </row>
    <row r="265" spans="1:3" x14ac:dyDescent="0.25">
      <c r="A265">
        <v>137154.9541</v>
      </c>
      <c r="B265">
        <v>135276.90960000001</v>
      </c>
      <c r="C265">
        <v>3915</v>
      </c>
    </row>
    <row r="266" spans="1:3" x14ac:dyDescent="0.25">
      <c r="A266">
        <v>153569.0619</v>
      </c>
      <c r="B266">
        <v>151376.13560000001</v>
      </c>
      <c r="C266">
        <v>4383</v>
      </c>
    </row>
    <row r="267" spans="1:3" x14ac:dyDescent="0.25">
      <c r="A267">
        <v>75633.320590000003</v>
      </c>
      <c r="B267">
        <v>74546.668250000002</v>
      </c>
      <c r="C267">
        <v>2159</v>
      </c>
    </row>
    <row r="268" spans="1:3" x14ac:dyDescent="0.25">
      <c r="A268">
        <v>90815.929810000001</v>
      </c>
      <c r="B268">
        <v>89653.637589999998</v>
      </c>
      <c r="C268">
        <v>2592</v>
      </c>
    </row>
    <row r="269" spans="1:3" x14ac:dyDescent="0.25">
      <c r="A269">
        <v>110118.15640000001</v>
      </c>
      <c r="B269">
        <v>108880.409</v>
      </c>
      <c r="C269">
        <v>3143</v>
      </c>
    </row>
    <row r="270" spans="1:3" x14ac:dyDescent="0.25">
      <c r="A270">
        <v>209908.38310000001</v>
      </c>
      <c r="B270">
        <v>223554.08660000001</v>
      </c>
      <c r="C270">
        <v>6457</v>
      </c>
    </row>
    <row r="271" spans="1:3" x14ac:dyDescent="0.25">
      <c r="A271">
        <v>358365.68300000002</v>
      </c>
      <c r="B271">
        <v>382967.98320000002</v>
      </c>
      <c r="C271">
        <v>11039</v>
      </c>
    </row>
    <row r="272" spans="1:3" x14ac:dyDescent="0.25">
      <c r="A272">
        <v>585463.99600000004</v>
      </c>
      <c r="B272">
        <v>625980.93019999994</v>
      </c>
      <c r="C272">
        <v>18036</v>
      </c>
    </row>
    <row r="273" spans="1:3" x14ac:dyDescent="0.25">
      <c r="A273">
        <v>617019.09149999998</v>
      </c>
      <c r="B273">
        <v>661010.59129999997</v>
      </c>
      <c r="C273">
        <v>19017</v>
      </c>
    </row>
    <row r="274" spans="1:3" x14ac:dyDescent="0.25">
      <c r="A274">
        <v>283850.59710000001</v>
      </c>
      <c r="B274">
        <v>304440.65149999998</v>
      </c>
      <c r="C274">
        <v>8747</v>
      </c>
    </row>
    <row r="275" spans="1:3" x14ac:dyDescent="0.25">
      <c r="A275">
        <v>264317.11040000001</v>
      </c>
      <c r="B275">
        <v>283912.96870000003</v>
      </c>
      <c r="C275">
        <v>8147</v>
      </c>
    </row>
    <row r="276" spans="1:3" x14ac:dyDescent="0.25">
      <c r="A276">
        <v>358024.98129999998</v>
      </c>
      <c r="B276">
        <v>384823.4399</v>
      </c>
      <c r="C276">
        <v>11036</v>
      </c>
    </row>
    <row r="277" spans="1:3" x14ac:dyDescent="0.25">
      <c r="A277">
        <v>594438.28079999995</v>
      </c>
      <c r="B277">
        <v>639306.56880000001</v>
      </c>
      <c r="C277">
        <v>18330</v>
      </c>
    </row>
    <row r="278" spans="1:3" x14ac:dyDescent="0.25">
      <c r="A278">
        <v>470507.663</v>
      </c>
      <c r="B278">
        <v>506072.03330000001</v>
      </c>
      <c r="C278">
        <v>14503</v>
      </c>
    </row>
    <row r="279" spans="1:3" x14ac:dyDescent="0.25">
      <c r="A279">
        <v>518693.52870000002</v>
      </c>
      <c r="B279">
        <v>557939.36930000002</v>
      </c>
      <c r="C279">
        <v>15986</v>
      </c>
    </row>
    <row r="280" spans="1:3" x14ac:dyDescent="0.25">
      <c r="A280">
        <v>656245.8284</v>
      </c>
      <c r="B280">
        <v>705891.3003</v>
      </c>
      <c r="C280">
        <v>20223</v>
      </c>
    </row>
    <row r="281" spans="1:3" x14ac:dyDescent="0.25">
      <c r="A281">
        <v>280055.1177</v>
      </c>
      <c r="B281">
        <v>301279.65500000003</v>
      </c>
      <c r="C281">
        <v>8631</v>
      </c>
    </row>
    <row r="282" spans="1:3" x14ac:dyDescent="0.25">
      <c r="A282">
        <v>375648.01750000002</v>
      </c>
      <c r="B282">
        <v>404178.92109999998</v>
      </c>
      <c r="C282">
        <v>11579</v>
      </c>
    </row>
    <row r="283" spans="1:3" x14ac:dyDescent="0.25">
      <c r="A283">
        <v>78111.716459999996</v>
      </c>
      <c r="B283">
        <v>74251.874729999996</v>
      </c>
      <c r="C283">
        <v>2127</v>
      </c>
    </row>
    <row r="284" spans="1:3" x14ac:dyDescent="0.25">
      <c r="A284">
        <v>70509.132790000003</v>
      </c>
      <c r="B284">
        <v>67141.979630000002</v>
      </c>
      <c r="C284">
        <v>1923</v>
      </c>
    </row>
    <row r="285" spans="1:3" x14ac:dyDescent="0.25">
      <c r="A285">
        <v>103281.311</v>
      </c>
      <c r="B285">
        <v>98065.939079999996</v>
      </c>
      <c r="C285">
        <v>2809</v>
      </c>
    </row>
    <row r="286" spans="1:3" x14ac:dyDescent="0.25">
      <c r="A286">
        <v>179841.43179999999</v>
      </c>
      <c r="B286">
        <v>170757.58119999999</v>
      </c>
      <c r="C286">
        <v>4891</v>
      </c>
    </row>
    <row r="287" spans="1:3" x14ac:dyDescent="0.25">
      <c r="A287">
        <v>138038.23980000001</v>
      </c>
      <c r="B287">
        <v>131192.3168</v>
      </c>
      <c r="C287">
        <v>3758</v>
      </c>
    </row>
    <row r="288" spans="1:3" x14ac:dyDescent="0.25">
      <c r="A288">
        <v>61037.562230000003</v>
      </c>
      <c r="B288">
        <v>57992.341509999998</v>
      </c>
      <c r="C288">
        <v>1661</v>
      </c>
    </row>
    <row r="289" spans="1:3" x14ac:dyDescent="0.25">
      <c r="A289">
        <v>86799.759449999998</v>
      </c>
      <c r="B289">
        <v>82392.333259999999</v>
      </c>
      <c r="C289">
        <v>2360</v>
      </c>
    </row>
    <row r="290" spans="1:3" x14ac:dyDescent="0.25">
      <c r="A290">
        <v>69570.501470000003</v>
      </c>
      <c r="B290">
        <v>66313.940979999999</v>
      </c>
      <c r="C290">
        <v>1894</v>
      </c>
    </row>
    <row r="291" spans="1:3" x14ac:dyDescent="0.25">
      <c r="A291">
        <v>130476.3553</v>
      </c>
      <c r="B291">
        <v>124398.4316</v>
      </c>
      <c r="C291">
        <v>3548</v>
      </c>
    </row>
    <row r="292" spans="1:3" x14ac:dyDescent="0.25">
      <c r="A292">
        <v>95229.773480000003</v>
      </c>
      <c r="B292">
        <v>91087.851339999994</v>
      </c>
      <c r="C292">
        <v>2591</v>
      </c>
    </row>
    <row r="293" spans="1:3" x14ac:dyDescent="0.25">
      <c r="A293">
        <v>121057.8613</v>
      </c>
      <c r="B293">
        <v>116949.7913</v>
      </c>
      <c r="C293">
        <v>3293</v>
      </c>
    </row>
    <row r="294" spans="1:3" x14ac:dyDescent="0.25">
      <c r="A294">
        <v>169498.91639999999</v>
      </c>
      <c r="B294">
        <v>164492.9466</v>
      </c>
      <c r="C294">
        <v>4611</v>
      </c>
    </row>
    <row r="295" spans="1:3" x14ac:dyDescent="0.25">
      <c r="A295">
        <v>90692.375880000007</v>
      </c>
      <c r="B295">
        <v>87911.211580000003</v>
      </c>
      <c r="C295">
        <v>2468</v>
      </c>
    </row>
    <row r="296" spans="1:3" x14ac:dyDescent="0.25">
      <c r="A296">
        <v>101723.91499999999</v>
      </c>
      <c r="B296">
        <v>98870.811879999994</v>
      </c>
      <c r="C296">
        <v>2773</v>
      </c>
    </row>
    <row r="297" spans="1:3" x14ac:dyDescent="0.25">
      <c r="A297">
        <v>103395.69130000001</v>
      </c>
      <c r="B297">
        <v>100424.1557</v>
      </c>
      <c r="C297">
        <v>2815</v>
      </c>
    </row>
    <row r="298" spans="1:3" x14ac:dyDescent="0.25">
      <c r="A298">
        <v>99075.599100000007</v>
      </c>
      <c r="B298">
        <v>96511.722160000005</v>
      </c>
      <c r="C298">
        <v>2701</v>
      </c>
    </row>
    <row r="299" spans="1:3" x14ac:dyDescent="0.25">
      <c r="A299">
        <v>97476.144719999997</v>
      </c>
      <c r="B299">
        <v>94763.842550000001</v>
      </c>
      <c r="C299">
        <v>2651</v>
      </c>
    </row>
    <row r="300" spans="1:3" x14ac:dyDescent="0.25">
      <c r="A300">
        <v>248974.65280000001</v>
      </c>
      <c r="B300">
        <v>241961.14319999999</v>
      </c>
      <c r="C300">
        <v>6781</v>
      </c>
    </row>
    <row r="301" spans="1:3" x14ac:dyDescent="0.25">
      <c r="A301">
        <v>302721.68329999998</v>
      </c>
      <c r="B301">
        <v>294129.67109999998</v>
      </c>
      <c r="C301">
        <v>8249</v>
      </c>
    </row>
    <row r="302" spans="1:3" x14ac:dyDescent="0.25">
      <c r="A302">
        <v>128520.72779999999</v>
      </c>
      <c r="B302">
        <v>124739.23390000001</v>
      </c>
      <c r="C302">
        <v>3502</v>
      </c>
    </row>
    <row r="303" spans="1:3" x14ac:dyDescent="0.25">
      <c r="A303">
        <v>145185.2683</v>
      </c>
      <c r="B303">
        <v>140651.93719999999</v>
      </c>
      <c r="C303">
        <v>3949</v>
      </c>
    </row>
    <row r="304" spans="1:3" x14ac:dyDescent="0.25">
      <c r="A304">
        <v>89527.556630000006</v>
      </c>
      <c r="B304">
        <v>87067.051319999999</v>
      </c>
      <c r="C304">
        <v>2435</v>
      </c>
    </row>
    <row r="305" spans="1:3" x14ac:dyDescent="0.25">
      <c r="A305">
        <v>81991.882840000006</v>
      </c>
      <c r="B305">
        <v>80112.548009999999</v>
      </c>
      <c r="C305">
        <v>2232</v>
      </c>
    </row>
    <row r="306" spans="1:3" x14ac:dyDescent="0.25">
      <c r="A306">
        <v>69704.491110000003</v>
      </c>
      <c r="B306">
        <v>68293.096390000006</v>
      </c>
      <c r="C306">
        <v>1898</v>
      </c>
    </row>
    <row r="307" spans="1:3" x14ac:dyDescent="0.25">
      <c r="A307">
        <v>166652.39480000001</v>
      </c>
      <c r="B307">
        <v>163319.71650000001</v>
      </c>
      <c r="C307">
        <v>4537</v>
      </c>
    </row>
    <row r="308" spans="1:3" x14ac:dyDescent="0.25">
      <c r="A308">
        <v>247453.10219999999</v>
      </c>
      <c r="B308">
        <v>242638.80119999999</v>
      </c>
      <c r="C308">
        <v>6730</v>
      </c>
    </row>
    <row r="309" spans="1:3" x14ac:dyDescent="0.25">
      <c r="A309">
        <v>148476.18119999999</v>
      </c>
      <c r="B309">
        <v>145646.33679999999</v>
      </c>
      <c r="C309">
        <v>4038</v>
      </c>
    </row>
    <row r="310" spans="1:3" x14ac:dyDescent="0.25">
      <c r="A310">
        <v>205368.92259999999</v>
      </c>
      <c r="B310">
        <v>201281.239</v>
      </c>
      <c r="C310">
        <v>5581</v>
      </c>
    </row>
    <row r="311" spans="1:3" x14ac:dyDescent="0.25">
      <c r="A311">
        <v>99244.681849999994</v>
      </c>
      <c r="B311">
        <v>90949.442249999993</v>
      </c>
      <c r="C311">
        <v>2519</v>
      </c>
    </row>
    <row r="312" spans="1:3" x14ac:dyDescent="0.25">
      <c r="A312">
        <v>72756.863100000002</v>
      </c>
      <c r="B312">
        <v>67872.77433</v>
      </c>
      <c r="C312">
        <v>1847</v>
      </c>
    </row>
    <row r="313" spans="1:3" x14ac:dyDescent="0.25">
      <c r="A313">
        <v>86867.458079999997</v>
      </c>
      <c r="B313">
        <v>84486.086089999997</v>
      </c>
      <c r="C313">
        <v>2309</v>
      </c>
    </row>
    <row r="314" spans="1:3" x14ac:dyDescent="0.25">
      <c r="A314">
        <v>140167.8039</v>
      </c>
      <c r="B314">
        <v>136539.20329999999</v>
      </c>
      <c r="C314">
        <v>3722</v>
      </c>
    </row>
    <row r="315" spans="1:3" x14ac:dyDescent="0.25">
      <c r="A315">
        <v>160727.3028</v>
      </c>
      <c r="B315">
        <v>156700.82500000001</v>
      </c>
      <c r="C315">
        <v>4268</v>
      </c>
    </row>
    <row r="316" spans="1:3" x14ac:dyDescent="0.25">
      <c r="A316">
        <v>74115.628779999999</v>
      </c>
      <c r="B316">
        <v>71994.346390000006</v>
      </c>
      <c r="C316">
        <v>1968</v>
      </c>
    </row>
    <row r="317" spans="1:3" x14ac:dyDescent="0.25">
      <c r="A317">
        <v>76103.291519999999</v>
      </c>
      <c r="B317">
        <v>73967.605689999997</v>
      </c>
      <c r="C317">
        <v>2016</v>
      </c>
    </row>
    <row r="318" spans="1:3" x14ac:dyDescent="0.25">
      <c r="A318">
        <v>56303.366569999998</v>
      </c>
      <c r="B318">
        <v>54996.866609999997</v>
      </c>
      <c r="C318">
        <v>1497</v>
      </c>
    </row>
    <row r="319" spans="1:3" x14ac:dyDescent="0.25">
      <c r="A319">
        <v>49436.815860000002</v>
      </c>
      <c r="B319">
        <v>48289.89228</v>
      </c>
      <c r="C319">
        <v>1314</v>
      </c>
    </row>
    <row r="320" spans="1:3" x14ac:dyDescent="0.25">
      <c r="A320">
        <v>55033.1224</v>
      </c>
      <c r="B320">
        <v>53997.218869999997</v>
      </c>
      <c r="C320">
        <v>1466</v>
      </c>
    </row>
    <row r="321" spans="1:3" x14ac:dyDescent="0.25">
      <c r="A321">
        <v>149808.16589999999</v>
      </c>
      <c r="B321">
        <v>146994.89550000001</v>
      </c>
      <c r="C321">
        <v>3984</v>
      </c>
    </row>
    <row r="322" spans="1:3" x14ac:dyDescent="0.25">
      <c r="A322">
        <v>180685.51070000001</v>
      </c>
      <c r="B322">
        <v>176898.27780000001</v>
      </c>
      <c r="C322">
        <v>4802</v>
      </c>
    </row>
    <row r="323" spans="1:3" x14ac:dyDescent="0.25">
      <c r="A323">
        <v>75871.43677</v>
      </c>
      <c r="B323">
        <v>73905.810159999994</v>
      </c>
      <c r="C323">
        <v>2017</v>
      </c>
    </row>
    <row r="324" spans="1:3" x14ac:dyDescent="0.25">
      <c r="A324">
        <v>86313.334080000001</v>
      </c>
      <c r="B324">
        <v>84418.789109999998</v>
      </c>
      <c r="C324">
        <v>2297</v>
      </c>
    </row>
    <row r="325" spans="1:3" x14ac:dyDescent="0.25">
      <c r="A325">
        <v>62631.798750000002</v>
      </c>
      <c r="B325">
        <v>61158.361089999999</v>
      </c>
      <c r="C325">
        <v>1665</v>
      </c>
    </row>
    <row r="326" spans="1:3" x14ac:dyDescent="0.25">
      <c r="A326">
        <v>48529.103360000001</v>
      </c>
      <c r="B326">
        <v>47409.554060000002</v>
      </c>
      <c r="C326">
        <v>1291</v>
      </c>
    </row>
    <row r="327" spans="1:3" x14ac:dyDescent="0.25">
      <c r="A327">
        <v>51040.881370000003</v>
      </c>
      <c r="B327">
        <v>50038.142630000002</v>
      </c>
      <c r="C327">
        <v>1361</v>
      </c>
    </row>
    <row r="328" spans="1:3" x14ac:dyDescent="0.25">
      <c r="A328">
        <v>53973.92224</v>
      </c>
      <c r="B328">
        <v>47192.49828</v>
      </c>
      <c r="C328">
        <v>1281</v>
      </c>
    </row>
    <row r="329" spans="1:3" x14ac:dyDescent="0.25">
      <c r="A329">
        <v>47497.982530000001</v>
      </c>
      <c r="B329">
        <v>41179.088250000001</v>
      </c>
      <c r="C329">
        <v>1122</v>
      </c>
    </row>
    <row r="330" spans="1:3" x14ac:dyDescent="0.25">
      <c r="A330">
        <v>31219.951529999998</v>
      </c>
      <c r="B330">
        <v>26893.304680000001</v>
      </c>
      <c r="C330">
        <v>737</v>
      </c>
    </row>
    <row r="331" spans="1:3" x14ac:dyDescent="0.25">
      <c r="A331">
        <v>26870.32387</v>
      </c>
      <c r="B331">
        <v>23516.041720000001</v>
      </c>
      <c r="C331">
        <v>641</v>
      </c>
    </row>
    <row r="332" spans="1:3" x14ac:dyDescent="0.25">
      <c r="A332">
        <v>40530.642290000003</v>
      </c>
      <c r="B332">
        <v>35674.190759999998</v>
      </c>
      <c r="C332">
        <v>968</v>
      </c>
    </row>
    <row r="333" spans="1:3" x14ac:dyDescent="0.25">
      <c r="A333">
        <v>30371.431339999999</v>
      </c>
      <c r="B333">
        <v>26054.849170000001</v>
      </c>
      <c r="C333">
        <v>709</v>
      </c>
    </row>
    <row r="334" spans="1:3" x14ac:dyDescent="0.25">
      <c r="A334">
        <v>37776.658770000002</v>
      </c>
      <c r="B334">
        <v>32719.689640000001</v>
      </c>
      <c r="C334">
        <v>880</v>
      </c>
    </row>
    <row r="335" spans="1:3" x14ac:dyDescent="0.25">
      <c r="A335">
        <v>46818.205320000001</v>
      </c>
      <c r="B335">
        <v>40652.576410000001</v>
      </c>
      <c r="C335">
        <v>1096</v>
      </c>
    </row>
    <row r="336" spans="1:3" x14ac:dyDescent="0.25">
      <c r="A336">
        <v>88321.625549999997</v>
      </c>
      <c r="B336">
        <v>79880.24368</v>
      </c>
      <c r="C336">
        <v>2068</v>
      </c>
    </row>
    <row r="337" spans="1:3" x14ac:dyDescent="0.25">
      <c r="A337">
        <v>101037.8278</v>
      </c>
      <c r="B337">
        <v>93177.884699999995</v>
      </c>
      <c r="C337">
        <v>2375</v>
      </c>
    </row>
    <row r="338" spans="1:3" x14ac:dyDescent="0.25">
      <c r="A338">
        <v>105100.6676</v>
      </c>
      <c r="B338">
        <v>97257.394669999994</v>
      </c>
      <c r="C338">
        <v>2492</v>
      </c>
    </row>
    <row r="339" spans="1:3" x14ac:dyDescent="0.25">
      <c r="A339">
        <v>88219.52549</v>
      </c>
      <c r="B339">
        <v>85533.428920000006</v>
      </c>
      <c r="C339">
        <v>2170</v>
      </c>
    </row>
    <row r="340" spans="1:3" x14ac:dyDescent="0.25">
      <c r="A340">
        <v>71590.369290000002</v>
      </c>
      <c r="B340">
        <v>69654.930309999996</v>
      </c>
      <c r="C340">
        <v>1784</v>
      </c>
    </row>
    <row r="341" spans="1:3" x14ac:dyDescent="0.25">
      <c r="A341">
        <v>54996.62169</v>
      </c>
      <c r="B341">
        <v>54503.028550000003</v>
      </c>
      <c r="C341">
        <v>1368</v>
      </c>
    </row>
    <row r="342" spans="1:3" x14ac:dyDescent="0.25">
      <c r="A342">
        <v>77884.18161</v>
      </c>
      <c r="B342">
        <v>77619.294890000005</v>
      </c>
      <c r="C342">
        <v>1914</v>
      </c>
    </row>
    <row r="343" spans="1:3" x14ac:dyDescent="0.25">
      <c r="A343">
        <v>150370.11670000001</v>
      </c>
      <c r="B343">
        <v>154998.8346</v>
      </c>
      <c r="C343">
        <v>3765</v>
      </c>
    </row>
    <row r="344" spans="1:3" x14ac:dyDescent="0.25">
      <c r="A344">
        <v>104675.37609999999</v>
      </c>
      <c r="B344">
        <v>111903.73789999999</v>
      </c>
      <c r="C344">
        <v>2712</v>
      </c>
    </row>
    <row r="345" spans="1:3" x14ac:dyDescent="0.25">
      <c r="A345">
        <v>90121.530480000001</v>
      </c>
      <c r="B345">
        <v>91081.668189999997</v>
      </c>
      <c r="C345">
        <v>2222</v>
      </c>
    </row>
    <row r="346" spans="1:3" x14ac:dyDescent="0.25">
      <c r="A346">
        <v>75425.443700000003</v>
      </c>
      <c r="B346">
        <v>77014.255959999995</v>
      </c>
      <c r="C346">
        <v>1861</v>
      </c>
    </row>
    <row r="347" spans="1:3" x14ac:dyDescent="0.25">
      <c r="A347">
        <v>161844.8094</v>
      </c>
      <c r="B347">
        <v>169348.51860000001</v>
      </c>
      <c r="C347">
        <v>4095</v>
      </c>
    </row>
    <row r="348" spans="1:3" x14ac:dyDescent="0.25">
      <c r="A348">
        <v>158603.35699999999</v>
      </c>
      <c r="B348">
        <v>171692.99359999999</v>
      </c>
      <c r="C348">
        <v>4157</v>
      </c>
    </row>
    <row r="349" spans="1:3" x14ac:dyDescent="0.25">
      <c r="A349">
        <v>279092.09600000002</v>
      </c>
      <c r="B349">
        <v>301236.10989999998</v>
      </c>
      <c r="C349">
        <v>7259</v>
      </c>
    </row>
    <row r="350" spans="1:3" x14ac:dyDescent="0.25">
      <c r="A350">
        <v>369350.98950000003</v>
      </c>
      <c r="B350">
        <v>402564.67859999998</v>
      </c>
      <c r="C350">
        <v>9654</v>
      </c>
    </row>
    <row r="351" spans="1:3" x14ac:dyDescent="0.25">
      <c r="A351">
        <v>177500.10769999999</v>
      </c>
      <c r="B351">
        <v>192327.32070000001</v>
      </c>
      <c r="C351">
        <v>4632</v>
      </c>
    </row>
    <row r="352" spans="1:3" x14ac:dyDescent="0.25">
      <c r="A352">
        <v>282246.6287</v>
      </c>
      <c r="B352">
        <v>304489.63829999999</v>
      </c>
      <c r="C352">
        <v>7341</v>
      </c>
    </row>
    <row r="353" spans="1:3" x14ac:dyDescent="0.25">
      <c r="A353">
        <v>166037.92569999999</v>
      </c>
      <c r="B353">
        <v>179571.12909999999</v>
      </c>
      <c r="C353">
        <v>4308</v>
      </c>
    </row>
    <row r="354" spans="1:3" x14ac:dyDescent="0.25">
      <c r="A354">
        <v>148910.99840000001</v>
      </c>
      <c r="B354">
        <v>161137.522</v>
      </c>
      <c r="C354">
        <v>3865</v>
      </c>
    </row>
    <row r="355" spans="1:3" x14ac:dyDescent="0.25">
      <c r="A355">
        <v>202359.14290000001</v>
      </c>
      <c r="B355">
        <v>221435.76860000001</v>
      </c>
      <c r="C355">
        <v>5288</v>
      </c>
    </row>
    <row r="356" spans="1:3" x14ac:dyDescent="0.25">
      <c r="A356">
        <v>274343.65429999999</v>
      </c>
      <c r="B356">
        <v>299516.83779999998</v>
      </c>
      <c r="C356">
        <v>7141</v>
      </c>
    </row>
    <row r="357" spans="1:3" x14ac:dyDescent="0.25">
      <c r="A357">
        <v>316167.0747</v>
      </c>
      <c r="B357">
        <v>346378.30479999998</v>
      </c>
      <c r="C357">
        <v>8268</v>
      </c>
    </row>
    <row r="358" spans="1:3" x14ac:dyDescent="0.25">
      <c r="A358">
        <v>173833.4001</v>
      </c>
      <c r="B358">
        <v>190644.50159999999</v>
      </c>
      <c r="C358">
        <v>4541</v>
      </c>
    </row>
    <row r="359" spans="1:3" x14ac:dyDescent="0.25">
      <c r="A359">
        <v>204565.08180000001</v>
      </c>
      <c r="B359">
        <v>210188.9094</v>
      </c>
      <c r="C359">
        <v>5014</v>
      </c>
    </row>
    <row r="360" spans="1:3" x14ac:dyDescent="0.25">
      <c r="A360">
        <v>316394.73090000002</v>
      </c>
      <c r="B360">
        <v>326627.1384</v>
      </c>
      <c r="C360">
        <v>7778</v>
      </c>
    </row>
    <row r="361" spans="1:3" x14ac:dyDescent="0.25">
      <c r="A361">
        <v>486230.32020000002</v>
      </c>
      <c r="B361">
        <v>495909.08960000001</v>
      </c>
      <c r="C361">
        <v>11809</v>
      </c>
    </row>
    <row r="362" spans="1:3" x14ac:dyDescent="0.25">
      <c r="A362">
        <v>137686.53210000001</v>
      </c>
      <c r="B362">
        <v>140525.7867</v>
      </c>
      <c r="C362">
        <v>3344</v>
      </c>
    </row>
    <row r="363" spans="1:3" x14ac:dyDescent="0.25">
      <c r="A363">
        <v>48102.96241</v>
      </c>
      <c r="B363">
        <v>49028.36507</v>
      </c>
      <c r="C363">
        <v>1169</v>
      </c>
    </row>
    <row r="364" spans="1:3" x14ac:dyDescent="0.25">
      <c r="A364">
        <v>110162.132</v>
      </c>
      <c r="B364">
        <v>112383.5592</v>
      </c>
      <c r="C364">
        <v>2676</v>
      </c>
    </row>
    <row r="365" spans="1:3" x14ac:dyDescent="0.25">
      <c r="A365">
        <v>69051.337090000001</v>
      </c>
      <c r="B365">
        <v>70482.717799999999</v>
      </c>
      <c r="C365">
        <v>1677</v>
      </c>
    </row>
    <row r="366" spans="1:3" x14ac:dyDescent="0.25">
      <c r="A366">
        <v>133307.36900000001</v>
      </c>
      <c r="B366">
        <v>136003.48250000001</v>
      </c>
      <c r="C366">
        <v>3237</v>
      </c>
    </row>
    <row r="367" spans="1:3" x14ac:dyDescent="0.25">
      <c r="A367">
        <v>216389.5043</v>
      </c>
      <c r="B367">
        <v>235723.7648</v>
      </c>
      <c r="C367">
        <v>5607</v>
      </c>
    </row>
    <row r="368" spans="1:3" x14ac:dyDescent="0.25">
      <c r="A368">
        <v>365055.31199999998</v>
      </c>
      <c r="B368">
        <v>398013.34830000001</v>
      </c>
      <c r="C368">
        <v>9464</v>
      </c>
    </row>
    <row r="369" spans="1:3" x14ac:dyDescent="0.25">
      <c r="A369">
        <v>112161.41959999999</v>
      </c>
      <c r="B369">
        <v>122170.4317</v>
      </c>
      <c r="C369">
        <v>2905</v>
      </c>
    </row>
    <row r="370" spans="1:3" x14ac:dyDescent="0.25">
      <c r="A370">
        <v>271101.46169999999</v>
      </c>
      <c r="B370">
        <v>295019.4694</v>
      </c>
      <c r="C370">
        <v>7023</v>
      </c>
    </row>
    <row r="371" spans="1:3" x14ac:dyDescent="0.25">
      <c r="A371">
        <v>245813.28829999999</v>
      </c>
      <c r="B371">
        <v>267734.72529999999</v>
      </c>
      <c r="C371">
        <v>6371</v>
      </c>
    </row>
    <row r="372" spans="1:3" x14ac:dyDescent="0.25">
      <c r="A372">
        <v>178394.81200000001</v>
      </c>
      <c r="B372">
        <v>194427.448</v>
      </c>
      <c r="C372">
        <v>4624</v>
      </c>
    </row>
    <row r="373" spans="1:3" x14ac:dyDescent="0.25">
      <c r="A373">
        <v>220443.63149999999</v>
      </c>
      <c r="B373">
        <v>239988.0275</v>
      </c>
      <c r="C373">
        <v>5717</v>
      </c>
    </row>
    <row r="374" spans="1:3" x14ac:dyDescent="0.25">
      <c r="A374">
        <v>181534.1887</v>
      </c>
      <c r="B374">
        <v>197328.94390000001</v>
      </c>
      <c r="C374">
        <v>4705</v>
      </c>
    </row>
    <row r="375" spans="1:3" x14ac:dyDescent="0.25">
      <c r="A375">
        <v>83176.481390000001</v>
      </c>
      <c r="B375">
        <v>84728.831200000001</v>
      </c>
      <c r="C375">
        <v>2020</v>
      </c>
    </row>
    <row r="376" spans="1:3" x14ac:dyDescent="0.25">
      <c r="A376">
        <v>76894.779349999997</v>
      </c>
      <c r="B376">
        <v>78468.095499999996</v>
      </c>
      <c r="C376">
        <v>1868</v>
      </c>
    </row>
    <row r="377" spans="1:3" x14ac:dyDescent="0.25">
      <c r="A377">
        <v>123859.38800000001</v>
      </c>
      <c r="B377">
        <v>126444.1425</v>
      </c>
      <c r="C377">
        <v>3008</v>
      </c>
    </row>
    <row r="378" spans="1:3" x14ac:dyDescent="0.25">
      <c r="A378">
        <v>120807.5742</v>
      </c>
      <c r="B378">
        <v>123392.80409999999</v>
      </c>
      <c r="C378">
        <v>2934</v>
      </c>
    </row>
    <row r="379" spans="1:3" x14ac:dyDescent="0.25">
      <c r="A379">
        <v>69597.36735</v>
      </c>
      <c r="B379">
        <v>71051.363500000007</v>
      </c>
      <c r="C379">
        <v>1690</v>
      </c>
    </row>
    <row r="380" spans="1:3" x14ac:dyDescent="0.25">
      <c r="A380">
        <v>84738.294410000002</v>
      </c>
      <c r="B380">
        <v>86467.537750000003</v>
      </c>
      <c r="C380">
        <v>2058</v>
      </c>
    </row>
    <row r="381" spans="1:3" x14ac:dyDescent="0.25">
      <c r="A381">
        <v>64653.972139999998</v>
      </c>
      <c r="B381">
        <v>65980.422089999993</v>
      </c>
      <c r="C381">
        <v>1570</v>
      </c>
    </row>
    <row r="382" spans="1:3" x14ac:dyDescent="0.25">
      <c r="A382">
        <v>59553.386030000001</v>
      </c>
      <c r="B382">
        <v>60703.356030000003</v>
      </c>
      <c r="C382">
        <v>1446</v>
      </c>
    </row>
    <row r="383" spans="1:3" x14ac:dyDescent="0.25">
      <c r="A383">
        <v>79080.756959999999</v>
      </c>
      <c r="B383">
        <v>80337.748309999995</v>
      </c>
      <c r="C383">
        <v>1921</v>
      </c>
    </row>
    <row r="384" spans="1:3" x14ac:dyDescent="0.25">
      <c r="A384">
        <v>149444.05679999999</v>
      </c>
      <c r="B384">
        <v>152030.9865</v>
      </c>
      <c r="C384">
        <v>3629</v>
      </c>
    </row>
    <row r="385" spans="1:3" x14ac:dyDescent="0.25">
      <c r="A385">
        <v>170624.07990000001</v>
      </c>
      <c r="B385">
        <v>173547.02710000001</v>
      </c>
      <c r="C385">
        <v>4144</v>
      </c>
    </row>
    <row r="386" spans="1:3" x14ac:dyDescent="0.25">
      <c r="A386">
        <v>74744.283150000003</v>
      </c>
      <c r="B386">
        <v>76003.928249999997</v>
      </c>
      <c r="C386">
        <v>1815</v>
      </c>
    </row>
    <row r="387" spans="1:3" x14ac:dyDescent="0.25">
      <c r="A387">
        <v>90144.161399999997</v>
      </c>
      <c r="B387">
        <v>91110.969349999999</v>
      </c>
      <c r="C387">
        <v>2189</v>
      </c>
    </row>
    <row r="388" spans="1:3" x14ac:dyDescent="0.25">
      <c r="A388">
        <v>97826.808799999999</v>
      </c>
      <c r="B388">
        <v>99134.306989999997</v>
      </c>
      <c r="C388">
        <v>2376</v>
      </c>
    </row>
    <row r="389" spans="1:3" x14ac:dyDescent="0.25">
      <c r="A389">
        <v>62795.979149999999</v>
      </c>
      <c r="B389">
        <v>64144.088880000003</v>
      </c>
      <c r="C389">
        <v>1525</v>
      </c>
    </row>
    <row r="390" spans="1:3" x14ac:dyDescent="0.25">
      <c r="A390">
        <v>66550.989830000006</v>
      </c>
      <c r="B390">
        <v>67952.150550000006</v>
      </c>
      <c r="C390">
        <v>1616</v>
      </c>
    </row>
    <row r="391" spans="1:3" x14ac:dyDescent="0.25">
      <c r="A391">
        <v>154670.89069999999</v>
      </c>
      <c r="B391">
        <v>158031.791</v>
      </c>
      <c r="C391">
        <v>3757</v>
      </c>
    </row>
    <row r="392" spans="1:3" x14ac:dyDescent="0.25">
      <c r="A392">
        <v>158722.10560000001</v>
      </c>
      <c r="B392">
        <v>162082.4184</v>
      </c>
      <c r="C392">
        <v>3855</v>
      </c>
    </row>
    <row r="393" spans="1:3" x14ac:dyDescent="0.25">
      <c r="A393">
        <v>78092.276920000004</v>
      </c>
      <c r="B393">
        <v>79795.043099999995</v>
      </c>
      <c r="C393">
        <v>1897</v>
      </c>
    </row>
    <row r="394" spans="1:3" x14ac:dyDescent="0.25">
      <c r="A394">
        <v>91830.402040000001</v>
      </c>
      <c r="B394">
        <v>93808.086750000002</v>
      </c>
      <c r="C394">
        <v>2230</v>
      </c>
    </row>
    <row r="395" spans="1:3" x14ac:dyDescent="0.25">
      <c r="A395">
        <v>76992.935679999995</v>
      </c>
      <c r="B395">
        <v>78614.457750000001</v>
      </c>
      <c r="C395">
        <v>1870</v>
      </c>
    </row>
    <row r="396" spans="1:3" x14ac:dyDescent="0.25">
      <c r="A396">
        <v>59897.715880000003</v>
      </c>
      <c r="B396">
        <v>61194.180260000001</v>
      </c>
      <c r="C396">
        <v>1455</v>
      </c>
    </row>
    <row r="397" spans="1:3" x14ac:dyDescent="0.25">
      <c r="A397">
        <v>57310.194040000002</v>
      </c>
      <c r="B397">
        <v>58531.410989999997</v>
      </c>
      <c r="C397">
        <v>1392</v>
      </c>
    </row>
    <row r="398" spans="1:3" x14ac:dyDescent="0.25">
      <c r="A398">
        <v>134540.2145</v>
      </c>
      <c r="B398">
        <v>137221.53750000001</v>
      </c>
      <c r="C398">
        <v>3268</v>
      </c>
    </row>
    <row r="399" spans="1:3" x14ac:dyDescent="0.25">
      <c r="A399">
        <v>200193.61199999999</v>
      </c>
      <c r="B399">
        <v>203814.73639999999</v>
      </c>
      <c r="C399">
        <v>4862</v>
      </c>
    </row>
    <row r="400" spans="1:3" x14ac:dyDescent="0.25">
      <c r="A400">
        <v>171469.93049999999</v>
      </c>
      <c r="B400">
        <v>174652.45800000001</v>
      </c>
      <c r="C400">
        <v>4165</v>
      </c>
    </row>
    <row r="401" spans="1:3" x14ac:dyDescent="0.25">
      <c r="A401">
        <v>151737.2188</v>
      </c>
      <c r="B401">
        <v>154148.59880000001</v>
      </c>
      <c r="C401">
        <v>3685</v>
      </c>
    </row>
    <row r="402" spans="1:3" x14ac:dyDescent="0.25">
      <c r="A402">
        <v>102072.4434</v>
      </c>
      <c r="B402">
        <v>103634.9642</v>
      </c>
      <c r="C402">
        <v>2479</v>
      </c>
    </row>
    <row r="403" spans="1:3" x14ac:dyDescent="0.25">
      <c r="A403">
        <v>82514.105119999993</v>
      </c>
      <c r="B403">
        <v>83232.391369999998</v>
      </c>
      <c r="C403">
        <v>2005</v>
      </c>
    </row>
    <row r="404" spans="1:3" x14ac:dyDescent="0.25">
      <c r="A404">
        <v>46211.332459999998</v>
      </c>
      <c r="B404">
        <v>46407.299120000003</v>
      </c>
      <c r="C404">
        <v>1122</v>
      </c>
    </row>
    <row r="405" spans="1:3" x14ac:dyDescent="0.25">
      <c r="A405">
        <v>85730.414810000002</v>
      </c>
      <c r="B405">
        <v>85765.709340000001</v>
      </c>
      <c r="C405">
        <v>2082</v>
      </c>
    </row>
    <row r="406" spans="1:3" x14ac:dyDescent="0.25">
      <c r="A406">
        <v>105918.2933</v>
      </c>
      <c r="B406">
        <v>105662.55620000001</v>
      </c>
      <c r="C406">
        <v>2573</v>
      </c>
    </row>
    <row r="407" spans="1:3" x14ac:dyDescent="0.25">
      <c r="A407">
        <v>73041.660870000007</v>
      </c>
      <c r="B407">
        <v>73046.233900000007</v>
      </c>
      <c r="C407">
        <v>1774</v>
      </c>
    </row>
    <row r="408" spans="1:3" x14ac:dyDescent="0.25">
      <c r="A408">
        <v>97908.547099999996</v>
      </c>
      <c r="B408">
        <v>97097.936589999998</v>
      </c>
      <c r="C408">
        <v>2378</v>
      </c>
    </row>
    <row r="409" spans="1:3" x14ac:dyDescent="0.25">
      <c r="A409">
        <v>138667.41589999999</v>
      </c>
      <c r="B409">
        <v>148522.84899999999</v>
      </c>
      <c r="C409">
        <v>3677</v>
      </c>
    </row>
    <row r="410" spans="1:3" x14ac:dyDescent="0.25">
      <c r="A410">
        <v>162162.1035</v>
      </c>
      <c r="B410">
        <v>173661.8278</v>
      </c>
      <c r="C410">
        <v>4299</v>
      </c>
    </row>
    <row r="411" spans="1:3" x14ac:dyDescent="0.25">
      <c r="A411">
        <v>138520.1268</v>
      </c>
      <c r="B411">
        <v>147756.34280000001</v>
      </c>
      <c r="C411">
        <v>3674</v>
      </c>
    </row>
    <row r="412" spans="1:3" x14ac:dyDescent="0.25">
      <c r="A412">
        <v>358597.42849999998</v>
      </c>
      <c r="B412">
        <v>382447.08039999998</v>
      </c>
      <c r="C412">
        <v>9505</v>
      </c>
    </row>
    <row r="413" spans="1:3" x14ac:dyDescent="0.25">
      <c r="A413">
        <v>424009.88250000001</v>
      </c>
      <c r="B413">
        <v>451548.02759999997</v>
      </c>
      <c r="C413">
        <v>11237</v>
      </c>
    </row>
    <row r="414" spans="1:3" x14ac:dyDescent="0.25">
      <c r="A414">
        <v>203861.4724</v>
      </c>
      <c r="B414">
        <v>217065.6152</v>
      </c>
      <c r="C414">
        <v>5406</v>
      </c>
    </row>
    <row r="415" spans="1:3" x14ac:dyDescent="0.25">
      <c r="A415">
        <v>220506.20929999999</v>
      </c>
      <c r="B415">
        <v>234723.22</v>
      </c>
      <c r="C415">
        <v>5846</v>
      </c>
    </row>
    <row r="416" spans="1:3" x14ac:dyDescent="0.25">
      <c r="A416">
        <v>139935.93700000001</v>
      </c>
      <c r="B416">
        <v>148697.54370000001</v>
      </c>
      <c r="C416">
        <v>3713</v>
      </c>
    </row>
    <row r="417" spans="1:3" x14ac:dyDescent="0.25">
      <c r="A417">
        <v>161064.75229999999</v>
      </c>
      <c r="B417">
        <v>170739.36660000001</v>
      </c>
      <c r="C417">
        <v>4270</v>
      </c>
    </row>
    <row r="418" spans="1:3" x14ac:dyDescent="0.25">
      <c r="A418">
        <v>144328.54519999999</v>
      </c>
      <c r="B418">
        <v>152824.11489999999</v>
      </c>
      <c r="C418">
        <v>3827</v>
      </c>
    </row>
    <row r="419" spans="1:3" x14ac:dyDescent="0.25">
      <c r="A419">
        <v>293071.75919999997</v>
      </c>
      <c r="B419">
        <v>310240.37839999999</v>
      </c>
      <c r="C419">
        <v>7770</v>
      </c>
    </row>
    <row r="420" spans="1:3" x14ac:dyDescent="0.25">
      <c r="A420">
        <v>267782.15399999998</v>
      </c>
      <c r="B420">
        <v>283430.33679999999</v>
      </c>
      <c r="C420">
        <v>7102</v>
      </c>
    </row>
    <row r="421" spans="1:3" x14ac:dyDescent="0.25">
      <c r="A421">
        <v>136052.68840000001</v>
      </c>
      <c r="B421">
        <v>144020.12280000001</v>
      </c>
      <c r="C421">
        <v>3608</v>
      </c>
    </row>
    <row r="422" spans="1:3" x14ac:dyDescent="0.25">
      <c r="A422">
        <v>86703.31409</v>
      </c>
      <c r="B422">
        <v>85730.966539999994</v>
      </c>
      <c r="C422">
        <v>2150</v>
      </c>
    </row>
    <row r="423" spans="1:3" x14ac:dyDescent="0.25">
      <c r="A423">
        <v>95474.357369999998</v>
      </c>
      <c r="B423">
        <v>100867.5241</v>
      </c>
      <c r="C423">
        <v>2530</v>
      </c>
    </row>
    <row r="424" spans="1:3" x14ac:dyDescent="0.25">
      <c r="A424">
        <v>198431.6275</v>
      </c>
      <c r="B424">
        <v>209499.7941</v>
      </c>
      <c r="C424">
        <v>5253</v>
      </c>
    </row>
    <row r="425" spans="1:3" x14ac:dyDescent="0.25">
      <c r="A425">
        <v>157291.734</v>
      </c>
      <c r="B425">
        <v>166305.03760000001</v>
      </c>
      <c r="C425">
        <v>4171</v>
      </c>
    </row>
    <row r="426" spans="1:3" x14ac:dyDescent="0.25">
      <c r="A426">
        <v>307540.6752</v>
      </c>
      <c r="B426">
        <v>324997.33649999998</v>
      </c>
      <c r="C426">
        <v>8156</v>
      </c>
    </row>
    <row r="427" spans="1:3" x14ac:dyDescent="0.25">
      <c r="A427">
        <v>350898.7635</v>
      </c>
      <c r="B427">
        <v>375030.63549999997</v>
      </c>
      <c r="C427">
        <v>9296</v>
      </c>
    </row>
    <row r="428" spans="1:3" x14ac:dyDescent="0.25">
      <c r="A428">
        <v>256701.54269999999</v>
      </c>
      <c r="B428">
        <v>276569.25040000002</v>
      </c>
      <c r="C428">
        <v>6803</v>
      </c>
    </row>
    <row r="429" spans="1:3" x14ac:dyDescent="0.25">
      <c r="A429">
        <v>234705.59280000001</v>
      </c>
      <c r="B429">
        <v>252709.82310000001</v>
      </c>
      <c r="C429">
        <v>6221</v>
      </c>
    </row>
    <row r="430" spans="1:3" x14ac:dyDescent="0.25">
      <c r="A430">
        <v>249380.56539999999</v>
      </c>
      <c r="B430">
        <v>268761.83240000001</v>
      </c>
      <c r="C430">
        <v>6611</v>
      </c>
    </row>
    <row r="431" spans="1:3" x14ac:dyDescent="0.25">
      <c r="A431">
        <v>258211.4442</v>
      </c>
      <c r="B431">
        <v>278825.6067</v>
      </c>
      <c r="C431">
        <v>6843</v>
      </c>
    </row>
    <row r="432" spans="1:3" x14ac:dyDescent="0.25">
      <c r="A432">
        <v>145975.8339</v>
      </c>
      <c r="B432">
        <v>157578.00589999999</v>
      </c>
      <c r="C432">
        <v>3858</v>
      </c>
    </row>
    <row r="433" spans="1:3" x14ac:dyDescent="0.25">
      <c r="A433">
        <v>269239.85259999998</v>
      </c>
      <c r="B433">
        <v>291365.01760000002</v>
      </c>
      <c r="C433">
        <v>7128</v>
      </c>
    </row>
    <row r="434" spans="1:3" x14ac:dyDescent="0.25">
      <c r="A434">
        <v>306920.21159999998</v>
      </c>
      <c r="B434">
        <v>332242.41159999999</v>
      </c>
      <c r="C434">
        <v>8127</v>
      </c>
    </row>
    <row r="435" spans="1:3" x14ac:dyDescent="0.25">
      <c r="A435">
        <v>122106.7956</v>
      </c>
      <c r="B435">
        <v>121394.8122</v>
      </c>
      <c r="C435">
        <v>2966</v>
      </c>
    </row>
    <row r="436" spans="1:3" x14ac:dyDescent="0.25">
      <c r="A436">
        <v>117661.28079999999</v>
      </c>
      <c r="B436">
        <v>116861.1583</v>
      </c>
      <c r="C436">
        <v>2858</v>
      </c>
    </row>
    <row r="437" spans="1:3" x14ac:dyDescent="0.25">
      <c r="A437">
        <v>62499.799169999998</v>
      </c>
      <c r="B437">
        <v>62073.872649999998</v>
      </c>
      <c r="C437">
        <v>1518</v>
      </c>
    </row>
    <row r="438" spans="1:3" x14ac:dyDescent="0.25">
      <c r="A438">
        <v>57063.984120000001</v>
      </c>
      <c r="B438">
        <v>56638.281369999997</v>
      </c>
      <c r="C438">
        <v>1386</v>
      </c>
    </row>
    <row r="439" spans="1:3" x14ac:dyDescent="0.25">
      <c r="A439">
        <v>48008.482839999997</v>
      </c>
      <c r="B439">
        <v>47681.672079999997</v>
      </c>
      <c r="C439">
        <v>1166</v>
      </c>
    </row>
    <row r="440" spans="1:3" x14ac:dyDescent="0.25">
      <c r="A440">
        <v>117446.8391</v>
      </c>
      <c r="B440">
        <v>116681.1416</v>
      </c>
      <c r="C440">
        <v>2853</v>
      </c>
    </row>
    <row r="441" spans="1:3" x14ac:dyDescent="0.25">
      <c r="A441">
        <v>150591.54790000001</v>
      </c>
      <c r="B441">
        <v>149573.82759999999</v>
      </c>
      <c r="C441">
        <v>3657</v>
      </c>
    </row>
    <row r="442" spans="1:3" x14ac:dyDescent="0.25">
      <c r="A442">
        <v>67152.474950000003</v>
      </c>
      <c r="B442">
        <v>66802.983219999995</v>
      </c>
      <c r="C442">
        <v>1631</v>
      </c>
    </row>
    <row r="443" spans="1:3" x14ac:dyDescent="0.25">
      <c r="A443">
        <v>80635.289250000002</v>
      </c>
      <c r="B443">
        <v>80121.290519999995</v>
      </c>
      <c r="C443">
        <v>1959</v>
      </c>
    </row>
    <row r="444" spans="1:3" x14ac:dyDescent="0.25">
      <c r="A444">
        <v>50669.6371</v>
      </c>
      <c r="B444">
        <v>50308.957049999997</v>
      </c>
      <c r="C444">
        <v>1230</v>
      </c>
    </row>
    <row r="445" spans="1:3" x14ac:dyDescent="0.25">
      <c r="A445">
        <v>48648.992660000004</v>
      </c>
      <c r="B445">
        <v>48362.068789999998</v>
      </c>
      <c r="C445">
        <v>1182</v>
      </c>
    </row>
    <row r="446" spans="1:3" x14ac:dyDescent="0.25">
      <c r="A446">
        <v>43213.177620000002</v>
      </c>
      <c r="B446">
        <v>42981.216849999997</v>
      </c>
      <c r="C446">
        <v>1050</v>
      </c>
    </row>
    <row r="447" spans="1:3" x14ac:dyDescent="0.25">
      <c r="A447">
        <v>96881.018089999998</v>
      </c>
      <c r="B447">
        <v>96453.287280000004</v>
      </c>
      <c r="C447">
        <v>2353</v>
      </c>
    </row>
    <row r="448" spans="1:3" x14ac:dyDescent="0.25">
      <c r="A448">
        <v>121360.8851</v>
      </c>
      <c r="B448">
        <v>120829.288</v>
      </c>
      <c r="C448">
        <v>2947</v>
      </c>
    </row>
    <row r="449" spans="1:3" x14ac:dyDescent="0.25">
      <c r="A449">
        <v>66954.366370000003</v>
      </c>
      <c r="B449">
        <v>66756.376439999993</v>
      </c>
      <c r="C449">
        <v>1626</v>
      </c>
    </row>
    <row r="450" spans="1:3" x14ac:dyDescent="0.25">
      <c r="A450">
        <v>81342.150760000004</v>
      </c>
      <c r="B450">
        <v>81132.012900000002</v>
      </c>
      <c r="C450">
        <v>1976</v>
      </c>
    </row>
    <row r="451" spans="1:3" x14ac:dyDescent="0.25">
      <c r="A451">
        <v>125060.70789999999</v>
      </c>
      <c r="B451">
        <v>136375.15270000001</v>
      </c>
      <c r="C451">
        <v>3312</v>
      </c>
    </row>
    <row r="452" spans="1:3" x14ac:dyDescent="0.25">
      <c r="A452">
        <v>253218.83119999999</v>
      </c>
      <c r="B452">
        <v>276194.82949999999</v>
      </c>
      <c r="C452">
        <v>6704</v>
      </c>
    </row>
    <row r="453" spans="1:3" x14ac:dyDescent="0.25">
      <c r="A453">
        <v>229184.4719</v>
      </c>
      <c r="B453">
        <v>250361.1502</v>
      </c>
      <c r="C453">
        <v>6077</v>
      </c>
    </row>
    <row r="454" spans="1:3" x14ac:dyDescent="0.25">
      <c r="A454">
        <v>354191.35100000002</v>
      </c>
      <c r="B454">
        <v>386464.65130000003</v>
      </c>
      <c r="C454">
        <v>9386</v>
      </c>
    </row>
    <row r="455" spans="1:3" x14ac:dyDescent="0.25">
      <c r="A455">
        <v>459484.6666</v>
      </c>
      <c r="B455">
        <v>501362.57250000001</v>
      </c>
      <c r="C455">
        <v>12181</v>
      </c>
    </row>
    <row r="456" spans="1:3" x14ac:dyDescent="0.25">
      <c r="A456">
        <v>224102.8885</v>
      </c>
      <c r="B456">
        <v>244359.8075</v>
      </c>
      <c r="C456">
        <v>5937</v>
      </c>
    </row>
    <row r="457" spans="1:3" x14ac:dyDescent="0.25">
      <c r="A457">
        <v>215203.5588</v>
      </c>
      <c r="B457">
        <v>234819.4474</v>
      </c>
      <c r="C457">
        <v>5706</v>
      </c>
    </row>
    <row r="458" spans="1:3" x14ac:dyDescent="0.25">
      <c r="A458">
        <v>355534.91200000001</v>
      </c>
      <c r="B458">
        <v>386988.91470000002</v>
      </c>
      <c r="C458">
        <v>9421</v>
      </c>
    </row>
    <row r="459" spans="1:3" x14ac:dyDescent="0.25">
      <c r="A459">
        <v>498894.34389999998</v>
      </c>
      <c r="B459">
        <v>542483.8358</v>
      </c>
      <c r="C459">
        <v>13207</v>
      </c>
    </row>
    <row r="460" spans="1:3" x14ac:dyDescent="0.25">
      <c r="A460">
        <v>715032.1899</v>
      </c>
      <c r="B460">
        <v>777522.19279999996</v>
      </c>
      <c r="C460">
        <v>18936</v>
      </c>
    </row>
    <row r="461" spans="1:3" x14ac:dyDescent="0.25">
      <c r="A461">
        <v>510289.2156</v>
      </c>
      <c r="B461">
        <v>554159.81940000004</v>
      </c>
      <c r="C461">
        <v>13503</v>
      </c>
    </row>
    <row r="462" spans="1:3" x14ac:dyDescent="0.25">
      <c r="A462">
        <v>400302.03950000001</v>
      </c>
      <c r="B462">
        <v>434872.72889999999</v>
      </c>
      <c r="C462">
        <v>10600</v>
      </c>
    </row>
    <row r="463" spans="1:3" x14ac:dyDescent="0.25">
      <c r="A463">
        <v>135578.2034</v>
      </c>
      <c r="B463">
        <v>147335.92509999999</v>
      </c>
      <c r="C463">
        <v>3591</v>
      </c>
    </row>
    <row r="464" spans="1:3" x14ac:dyDescent="0.25">
      <c r="A464">
        <v>182466.25520000001</v>
      </c>
      <c r="B464">
        <v>198405.2291</v>
      </c>
      <c r="C464">
        <v>4836</v>
      </c>
    </row>
    <row r="465" spans="1:3" x14ac:dyDescent="0.25">
      <c r="A465">
        <v>176814.20259999999</v>
      </c>
      <c r="B465">
        <v>178390.14910000001</v>
      </c>
      <c r="C465">
        <v>4348</v>
      </c>
    </row>
    <row r="466" spans="1:3" x14ac:dyDescent="0.25">
      <c r="A466">
        <v>100917.6716</v>
      </c>
      <c r="B466">
        <v>100579.1289</v>
      </c>
      <c r="C466">
        <v>2451</v>
      </c>
    </row>
    <row r="467" spans="1:3" x14ac:dyDescent="0.25">
      <c r="A467">
        <v>74690.672730000006</v>
      </c>
      <c r="B467">
        <v>74427.58597</v>
      </c>
      <c r="C467">
        <v>1814</v>
      </c>
    </row>
    <row r="468" spans="1:3" x14ac:dyDescent="0.25">
      <c r="A468">
        <v>114067.07709999999</v>
      </c>
      <c r="B468">
        <v>113653.9736</v>
      </c>
      <c r="C468">
        <v>2770</v>
      </c>
    </row>
    <row r="469" spans="1:3" x14ac:dyDescent="0.25">
      <c r="A469">
        <v>126507.8009</v>
      </c>
      <c r="B469">
        <v>126043.7692</v>
      </c>
      <c r="C469">
        <v>3072</v>
      </c>
    </row>
    <row r="470" spans="1:3" x14ac:dyDescent="0.25">
      <c r="A470">
        <v>79648.629390000002</v>
      </c>
      <c r="B470">
        <v>79349.402449999994</v>
      </c>
      <c r="C470">
        <v>1934</v>
      </c>
    </row>
    <row r="471" spans="1:3" x14ac:dyDescent="0.25">
      <c r="A471">
        <v>83137.432430000001</v>
      </c>
      <c r="B471">
        <v>82700.354170000006</v>
      </c>
      <c r="C471">
        <v>2019</v>
      </c>
    </row>
    <row r="472" spans="1:3" x14ac:dyDescent="0.25">
      <c r="A472">
        <v>40776.02706</v>
      </c>
      <c r="B472">
        <v>39940.19958</v>
      </c>
      <c r="C472">
        <v>979</v>
      </c>
    </row>
    <row r="473" spans="1:3" x14ac:dyDescent="0.25">
      <c r="A473">
        <v>58278.457929999997</v>
      </c>
      <c r="B473">
        <v>56969.922590000002</v>
      </c>
      <c r="C473">
        <v>1398</v>
      </c>
    </row>
    <row r="474" spans="1:3" x14ac:dyDescent="0.25">
      <c r="A474">
        <v>50000.101439999999</v>
      </c>
      <c r="B474">
        <v>48827.88538</v>
      </c>
      <c r="C474">
        <v>1198</v>
      </c>
    </row>
    <row r="475" spans="1:3" x14ac:dyDescent="0.25">
      <c r="A475">
        <v>103911.9191</v>
      </c>
      <c r="B475">
        <v>101408.94960000001</v>
      </c>
      <c r="C475">
        <v>2485</v>
      </c>
    </row>
    <row r="476" spans="1:3" x14ac:dyDescent="0.25">
      <c r="A476">
        <v>132843.22260000001</v>
      </c>
      <c r="B476">
        <v>129545.5321</v>
      </c>
      <c r="C476">
        <v>3172</v>
      </c>
    </row>
    <row r="477" spans="1:3" x14ac:dyDescent="0.25">
      <c r="A477">
        <v>62786.611279999997</v>
      </c>
      <c r="B477">
        <v>61213.25591</v>
      </c>
      <c r="C477">
        <v>1497</v>
      </c>
    </row>
    <row r="478" spans="1:3" x14ac:dyDescent="0.25">
      <c r="A478">
        <v>57233.406640000001</v>
      </c>
      <c r="B478">
        <v>55706.87543</v>
      </c>
      <c r="C478">
        <v>1365</v>
      </c>
    </row>
    <row r="479" spans="1:3" x14ac:dyDescent="0.25">
      <c r="A479">
        <v>56874.345459999997</v>
      </c>
      <c r="B479">
        <v>55172.17123</v>
      </c>
      <c r="C479">
        <v>1353</v>
      </c>
    </row>
    <row r="480" spans="1:3" x14ac:dyDescent="0.25">
      <c r="A480">
        <v>132737.73699999999</v>
      </c>
      <c r="B480">
        <v>140263.9301</v>
      </c>
      <c r="C480">
        <v>3439</v>
      </c>
    </row>
    <row r="481" spans="1:3" x14ac:dyDescent="0.25">
      <c r="A481">
        <v>60310.338949999998</v>
      </c>
      <c r="B481">
        <v>58446.054929999998</v>
      </c>
      <c r="C481">
        <v>1434</v>
      </c>
    </row>
    <row r="482" spans="1:3" x14ac:dyDescent="0.25">
      <c r="A482">
        <v>343587.0085</v>
      </c>
      <c r="B482">
        <v>362390.59600000002</v>
      </c>
      <c r="C482">
        <v>8892</v>
      </c>
    </row>
    <row r="483" spans="1:3" x14ac:dyDescent="0.25">
      <c r="A483">
        <v>496882.315</v>
      </c>
      <c r="B483">
        <v>535306.00989999995</v>
      </c>
      <c r="C483">
        <v>13144</v>
      </c>
    </row>
    <row r="484" spans="1:3" x14ac:dyDescent="0.25">
      <c r="A484">
        <v>200369.82990000001</v>
      </c>
      <c r="B484">
        <v>210964.76809999999</v>
      </c>
      <c r="C484">
        <v>5179</v>
      </c>
    </row>
    <row r="485" spans="1:3" x14ac:dyDescent="0.25">
      <c r="A485">
        <v>194028.0618</v>
      </c>
      <c r="B485">
        <v>204053.49890000001</v>
      </c>
      <c r="C485">
        <v>5014</v>
      </c>
    </row>
    <row r="486" spans="1:3" x14ac:dyDescent="0.25">
      <c r="A486">
        <v>190560.57920000001</v>
      </c>
      <c r="B486">
        <v>200804.0368</v>
      </c>
      <c r="C486">
        <v>4936</v>
      </c>
    </row>
    <row r="487" spans="1:3" x14ac:dyDescent="0.25">
      <c r="A487">
        <v>198985.3996</v>
      </c>
      <c r="B487">
        <v>209483.87580000001</v>
      </c>
      <c r="C487">
        <v>5150</v>
      </c>
    </row>
    <row r="488" spans="1:3" x14ac:dyDescent="0.25">
      <c r="A488">
        <v>385482.87199999997</v>
      </c>
      <c r="B488">
        <v>406252.00760000001</v>
      </c>
      <c r="C488">
        <v>9986</v>
      </c>
    </row>
    <row r="489" spans="1:3" x14ac:dyDescent="0.25">
      <c r="A489">
        <v>499703.41470000002</v>
      </c>
      <c r="B489">
        <v>526206.93720000004</v>
      </c>
      <c r="C489">
        <v>12937</v>
      </c>
    </row>
    <row r="490" spans="1:3" x14ac:dyDescent="0.25">
      <c r="A490">
        <v>461667.00390000001</v>
      </c>
      <c r="B490">
        <v>496852.80200000003</v>
      </c>
      <c r="C490">
        <v>12217</v>
      </c>
    </row>
    <row r="491" spans="1:3" x14ac:dyDescent="0.25">
      <c r="A491">
        <v>259541.60870000001</v>
      </c>
      <c r="B491">
        <v>273280.04639999999</v>
      </c>
      <c r="C491">
        <v>6721</v>
      </c>
    </row>
    <row r="492" spans="1:3" x14ac:dyDescent="0.25">
      <c r="A492">
        <v>320309.27439999999</v>
      </c>
      <c r="B492">
        <v>336742.60239999997</v>
      </c>
      <c r="C492">
        <v>8283</v>
      </c>
    </row>
    <row r="493" spans="1:3" x14ac:dyDescent="0.25">
      <c r="A493">
        <v>239922.9982</v>
      </c>
      <c r="B493">
        <v>251700.9664</v>
      </c>
      <c r="C493">
        <v>6191</v>
      </c>
    </row>
    <row r="494" spans="1:3" x14ac:dyDescent="0.25">
      <c r="A494">
        <v>224994.19510000001</v>
      </c>
      <c r="B494">
        <v>242259.85949999999</v>
      </c>
      <c r="C494">
        <v>5959</v>
      </c>
    </row>
    <row r="495" spans="1:3" x14ac:dyDescent="0.25">
      <c r="A495">
        <v>117197.97169999999</v>
      </c>
      <c r="B495">
        <v>115769.0863</v>
      </c>
      <c r="C495">
        <v>2848</v>
      </c>
    </row>
    <row r="496" spans="1:3" x14ac:dyDescent="0.25">
      <c r="A496">
        <v>330589.1998</v>
      </c>
      <c r="B496">
        <v>355565.0417</v>
      </c>
      <c r="C496">
        <v>8748</v>
      </c>
    </row>
    <row r="497" spans="1:3" x14ac:dyDescent="0.25">
      <c r="A497">
        <v>389972.11979999999</v>
      </c>
      <c r="B497">
        <v>419827.13650000002</v>
      </c>
      <c r="C497">
        <v>10329</v>
      </c>
    </row>
    <row r="498" spans="1:3" x14ac:dyDescent="0.25">
      <c r="A498">
        <v>166536.00030000001</v>
      </c>
      <c r="B498">
        <v>179243.05179999999</v>
      </c>
      <c r="C498">
        <v>4410</v>
      </c>
    </row>
    <row r="499" spans="1:3" x14ac:dyDescent="0.25">
      <c r="A499">
        <v>198442.91269999999</v>
      </c>
      <c r="B499">
        <v>213676.4284</v>
      </c>
      <c r="C499">
        <v>5257</v>
      </c>
    </row>
    <row r="500" spans="1:3" x14ac:dyDescent="0.25">
      <c r="A500">
        <v>193182.15059999999</v>
      </c>
      <c r="B500">
        <v>208039.1734</v>
      </c>
      <c r="C500">
        <v>5118</v>
      </c>
    </row>
    <row r="501" spans="1:3" x14ac:dyDescent="0.25">
      <c r="A501">
        <v>166403.12700000001</v>
      </c>
      <c r="B501">
        <v>179221.5723</v>
      </c>
      <c r="C501">
        <v>4410</v>
      </c>
    </row>
    <row r="502" spans="1:3" x14ac:dyDescent="0.25">
      <c r="A502">
        <v>149178.60149999999</v>
      </c>
      <c r="B502">
        <v>160620.2071</v>
      </c>
      <c r="C502">
        <v>3952</v>
      </c>
    </row>
    <row r="503" spans="1:3" x14ac:dyDescent="0.25">
      <c r="A503">
        <v>380592.57760000002</v>
      </c>
      <c r="B503">
        <v>409812.4327</v>
      </c>
      <c r="C503">
        <v>10084</v>
      </c>
    </row>
    <row r="504" spans="1:3" x14ac:dyDescent="0.25">
      <c r="A504">
        <v>413700.1789</v>
      </c>
      <c r="B504">
        <v>445569.71909999999</v>
      </c>
      <c r="C504">
        <v>10964</v>
      </c>
    </row>
    <row r="505" spans="1:3" x14ac:dyDescent="0.25">
      <c r="A505">
        <v>177159.67310000001</v>
      </c>
      <c r="B505">
        <v>190811.5779</v>
      </c>
      <c r="C505">
        <v>4695</v>
      </c>
    </row>
    <row r="506" spans="1:3" x14ac:dyDescent="0.25">
      <c r="A506">
        <v>196420.7635</v>
      </c>
      <c r="B506">
        <v>211510.7861</v>
      </c>
      <c r="C506">
        <v>5205</v>
      </c>
    </row>
    <row r="507" spans="1:3" x14ac:dyDescent="0.25">
      <c r="A507">
        <v>137940.87220000001</v>
      </c>
      <c r="B507">
        <v>147846.05220000001</v>
      </c>
      <c r="C507">
        <v>3638</v>
      </c>
    </row>
    <row r="508" spans="1:3" x14ac:dyDescent="0.25">
      <c r="A508">
        <v>166176.2838</v>
      </c>
      <c r="B508">
        <v>178568.18049999999</v>
      </c>
      <c r="C508">
        <v>4394</v>
      </c>
    </row>
    <row r="509" spans="1:3" x14ac:dyDescent="0.25">
      <c r="A509">
        <v>84604.377569999997</v>
      </c>
      <c r="B509">
        <v>81763.267389999994</v>
      </c>
      <c r="C509">
        <v>2012</v>
      </c>
    </row>
    <row r="510" spans="1:3" x14ac:dyDescent="0.25">
      <c r="A510">
        <v>321821.02029999997</v>
      </c>
      <c r="B510">
        <v>346487.52029999997</v>
      </c>
      <c r="C510">
        <v>8526</v>
      </c>
    </row>
    <row r="511" spans="1:3" x14ac:dyDescent="0.25">
      <c r="A511">
        <v>418715.4106</v>
      </c>
      <c r="B511">
        <v>450936.27929999999</v>
      </c>
      <c r="C511">
        <v>11096</v>
      </c>
    </row>
    <row r="512" spans="1:3" x14ac:dyDescent="0.25">
      <c r="A512">
        <v>169541.2659</v>
      </c>
      <c r="B512">
        <v>182419.14139999999</v>
      </c>
      <c r="C512">
        <v>4489</v>
      </c>
    </row>
    <row r="513" spans="1:3" x14ac:dyDescent="0.25">
      <c r="A513">
        <v>256434.5099</v>
      </c>
      <c r="B513">
        <v>276173.79249999998</v>
      </c>
      <c r="C513">
        <v>6795</v>
      </c>
    </row>
    <row r="514" spans="1:3" x14ac:dyDescent="0.25">
      <c r="A514">
        <v>199385.9124</v>
      </c>
      <c r="B514">
        <v>214719.75279999999</v>
      </c>
      <c r="C514">
        <v>5283</v>
      </c>
    </row>
    <row r="515" spans="1:3" x14ac:dyDescent="0.25">
      <c r="A515">
        <v>243554.2243</v>
      </c>
      <c r="B515">
        <v>262251.08010000002</v>
      </c>
      <c r="C515">
        <v>6453</v>
      </c>
    </row>
    <row r="516" spans="1:3" x14ac:dyDescent="0.25">
      <c r="A516">
        <v>217746.0129</v>
      </c>
      <c r="B516">
        <v>234483.41699999999</v>
      </c>
      <c r="C516">
        <v>5770</v>
      </c>
    </row>
    <row r="517" spans="1:3" x14ac:dyDescent="0.25">
      <c r="A517">
        <v>472160.75209999998</v>
      </c>
      <c r="B517">
        <v>508265.147</v>
      </c>
      <c r="C517">
        <v>12507</v>
      </c>
    </row>
    <row r="518" spans="1:3" x14ac:dyDescent="0.25">
      <c r="A518">
        <v>546135.46239999996</v>
      </c>
      <c r="B518">
        <v>588250.18119999999</v>
      </c>
      <c r="C518">
        <v>14475</v>
      </c>
    </row>
    <row r="519" spans="1:3" x14ac:dyDescent="0.25">
      <c r="A519">
        <v>264637.3653</v>
      </c>
      <c r="B519">
        <v>284828.65970000002</v>
      </c>
      <c r="C519">
        <v>7009</v>
      </c>
    </row>
    <row r="520" spans="1:3" x14ac:dyDescent="0.25">
      <c r="A520">
        <v>440905.9987</v>
      </c>
      <c r="B520">
        <v>474967.32760000002</v>
      </c>
      <c r="C520">
        <v>11688</v>
      </c>
    </row>
    <row r="521" spans="1:3" x14ac:dyDescent="0.25">
      <c r="A521">
        <v>334318.89779999998</v>
      </c>
      <c r="B521">
        <v>360168.82709999999</v>
      </c>
      <c r="C521">
        <v>8863</v>
      </c>
    </row>
    <row r="522" spans="1:3" x14ac:dyDescent="0.25">
      <c r="A522">
        <v>269835.82860000001</v>
      </c>
      <c r="B522">
        <v>290492.10629999998</v>
      </c>
      <c r="C522">
        <v>7148</v>
      </c>
    </row>
    <row r="523" spans="1:3" x14ac:dyDescent="0.25">
      <c r="A523">
        <v>201146.48929999999</v>
      </c>
      <c r="B523">
        <v>216428.50039999999</v>
      </c>
      <c r="C523">
        <v>5326</v>
      </c>
    </row>
    <row r="524" spans="1:3" x14ac:dyDescent="0.25">
      <c r="A524">
        <v>293461.08390000003</v>
      </c>
      <c r="B524">
        <v>315937.86219999997</v>
      </c>
      <c r="C524">
        <v>7775</v>
      </c>
    </row>
    <row r="525" spans="1:3" x14ac:dyDescent="0.25">
      <c r="A525">
        <v>349413.0098</v>
      </c>
      <c r="B525">
        <v>376094.7218</v>
      </c>
      <c r="C525">
        <v>9255</v>
      </c>
    </row>
    <row r="526" spans="1:3" x14ac:dyDescent="0.25">
      <c r="A526">
        <v>179602.91519999999</v>
      </c>
      <c r="B526">
        <v>193348.5914</v>
      </c>
      <c r="C526">
        <v>4758</v>
      </c>
    </row>
    <row r="527" spans="1:3" x14ac:dyDescent="0.25">
      <c r="A527">
        <v>109810.5457</v>
      </c>
      <c r="B527">
        <v>106166.0816</v>
      </c>
      <c r="C527">
        <v>2613</v>
      </c>
    </row>
    <row r="528" spans="1:3" x14ac:dyDescent="0.25">
      <c r="A528">
        <v>76956.92035</v>
      </c>
      <c r="B528">
        <v>74212.790569999997</v>
      </c>
      <c r="C528">
        <v>1830</v>
      </c>
    </row>
    <row r="529" spans="1:3" x14ac:dyDescent="0.25">
      <c r="A529">
        <v>71199.588399999993</v>
      </c>
      <c r="B529">
        <v>68669.394960000005</v>
      </c>
      <c r="C529">
        <v>1694</v>
      </c>
    </row>
    <row r="530" spans="1:3" x14ac:dyDescent="0.25">
      <c r="A530">
        <v>68988.346669999999</v>
      </c>
      <c r="B530">
        <v>66539.165200000003</v>
      </c>
      <c r="C530">
        <v>1642</v>
      </c>
    </row>
    <row r="531" spans="1:3" x14ac:dyDescent="0.25">
      <c r="A531">
        <v>155156.8792</v>
      </c>
      <c r="B531">
        <v>149423.24359999999</v>
      </c>
      <c r="C531">
        <v>3690</v>
      </c>
    </row>
    <row r="532" spans="1:3" x14ac:dyDescent="0.25">
      <c r="A532">
        <v>185109.52309999999</v>
      </c>
      <c r="B532">
        <v>178347.3694</v>
      </c>
      <c r="C532">
        <v>4404</v>
      </c>
    </row>
    <row r="533" spans="1:3" x14ac:dyDescent="0.25">
      <c r="A533">
        <v>83779.544009999998</v>
      </c>
      <c r="B533">
        <v>80659.821809999994</v>
      </c>
      <c r="C533">
        <v>1992</v>
      </c>
    </row>
    <row r="534" spans="1:3" x14ac:dyDescent="0.25">
      <c r="A534">
        <v>149501.57449999999</v>
      </c>
      <c r="B534">
        <v>143962.8719</v>
      </c>
      <c r="C534">
        <v>3557</v>
      </c>
    </row>
    <row r="535" spans="1:3" x14ac:dyDescent="0.25">
      <c r="A535">
        <v>100477.2968</v>
      </c>
      <c r="B535">
        <v>96810.103579999995</v>
      </c>
      <c r="C535">
        <v>2395</v>
      </c>
    </row>
    <row r="536" spans="1:3" x14ac:dyDescent="0.25">
      <c r="A536">
        <v>89072.705350000004</v>
      </c>
      <c r="B536">
        <v>85639.307750000007</v>
      </c>
      <c r="C536">
        <v>2120</v>
      </c>
    </row>
    <row r="537" spans="1:3" x14ac:dyDescent="0.25">
      <c r="A537">
        <v>78746.595860000001</v>
      </c>
      <c r="B537">
        <v>75673.781990000003</v>
      </c>
      <c r="C537">
        <v>1875</v>
      </c>
    </row>
    <row r="538" spans="1:3" x14ac:dyDescent="0.25">
      <c r="A538">
        <v>141913.3824</v>
      </c>
      <c r="B538">
        <v>136017.75039999999</v>
      </c>
      <c r="C538">
        <v>3376</v>
      </c>
    </row>
    <row r="539" spans="1:3" x14ac:dyDescent="0.25">
      <c r="A539">
        <v>169304.27830000001</v>
      </c>
      <c r="B539">
        <v>162287.90919999999</v>
      </c>
      <c r="C539">
        <v>4027</v>
      </c>
    </row>
    <row r="540" spans="1:3" x14ac:dyDescent="0.25">
      <c r="A540">
        <v>89512.242840000006</v>
      </c>
      <c r="B540">
        <v>85781.807029999996</v>
      </c>
      <c r="C540">
        <v>2128</v>
      </c>
    </row>
    <row r="541" spans="1:3" x14ac:dyDescent="0.25">
      <c r="A541">
        <v>85984.075339999996</v>
      </c>
      <c r="B541">
        <v>82427.231539999993</v>
      </c>
      <c r="C541">
        <v>2046</v>
      </c>
    </row>
    <row r="542" spans="1:3" x14ac:dyDescent="0.25">
      <c r="A542">
        <v>64956.462079999998</v>
      </c>
      <c r="B542">
        <v>62169.777119999999</v>
      </c>
      <c r="C542">
        <v>1546</v>
      </c>
    </row>
    <row r="543" spans="1:3" x14ac:dyDescent="0.25">
      <c r="A543">
        <v>106613.4328</v>
      </c>
      <c r="B543">
        <v>113428.4743</v>
      </c>
      <c r="C543">
        <v>2822</v>
      </c>
    </row>
    <row r="544" spans="1:3" x14ac:dyDescent="0.25">
      <c r="A544">
        <v>183843.8173</v>
      </c>
      <c r="B544">
        <v>195365.73069999999</v>
      </c>
      <c r="C544">
        <v>4865</v>
      </c>
    </row>
    <row r="545" spans="1:3" x14ac:dyDescent="0.25">
      <c r="A545">
        <v>319579.7941</v>
      </c>
      <c r="B545">
        <v>339241.69179999997</v>
      </c>
      <c r="C545">
        <v>8450</v>
      </c>
    </row>
    <row r="546" spans="1:3" x14ac:dyDescent="0.25">
      <c r="A546">
        <v>369245.75870000001</v>
      </c>
      <c r="B546">
        <v>392017.97350000002</v>
      </c>
      <c r="C546">
        <v>9770</v>
      </c>
    </row>
    <row r="547" spans="1:3" x14ac:dyDescent="0.25">
      <c r="A547">
        <v>185648.49110000001</v>
      </c>
      <c r="B547">
        <v>197095.10870000001</v>
      </c>
      <c r="C547">
        <v>4914</v>
      </c>
    </row>
    <row r="548" spans="1:3" x14ac:dyDescent="0.25">
      <c r="A548">
        <v>165557.76180000001</v>
      </c>
      <c r="B548">
        <v>175871.1109</v>
      </c>
      <c r="C548">
        <v>4385</v>
      </c>
    </row>
    <row r="549" spans="1:3" x14ac:dyDescent="0.25">
      <c r="A549">
        <v>212465.08319999999</v>
      </c>
      <c r="B549">
        <v>225678.9345</v>
      </c>
      <c r="C549">
        <v>5627</v>
      </c>
    </row>
    <row r="550" spans="1:3" x14ac:dyDescent="0.25">
      <c r="A550">
        <v>305231.9081</v>
      </c>
      <c r="B550">
        <v>324248.84149999998</v>
      </c>
      <c r="C550">
        <v>8086</v>
      </c>
    </row>
    <row r="551" spans="1:3" x14ac:dyDescent="0.25">
      <c r="A551">
        <v>250481.6177</v>
      </c>
      <c r="B551">
        <v>266061.92839999998</v>
      </c>
      <c r="C551">
        <v>6639</v>
      </c>
    </row>
    <row r="552" spans="1:3" x14ac:dyDescent="0.25">
      <c r="A552">
        <v>268410.48070000001</v>
      </c>
      <c r="B552">
        <v>284592.99469999998</v>
      </c>
      <c r="C552">
        <v>7104</v>
      </c>
    </row>
    <row r="553" spans="1:3" x14ac:dyDescent="0.25">
      <c r="A553">
        <v>316365.4987</v>
      </c>
      <c r="B553">
        <v>335025.07640000002</v>
      </c>
      <c r="C553">
        <v>8364</v>
      </c>
    </row>
    <row r="554" spans="1:3" x14ac:dyDescent="0.25">
      <c r="A554">
        <v>156873.04370000001</v>
      </c>
      <c r="B554">
        <v>165968.62450000001</v>
      </c>
      <c r="C554">
        <v>4146</v>
      </c>
    </row>
    <row r="555" spans="1:3" x14ac:dyDescent="0.25">
      <c r="A555">
        <v>173987.75150000001</v>
      </c>
      <c r="B555">
        <v>184188.97899999999</v>
      </c>
      <c r="C555">
        <v>4601</v>
      </c>
    </row>
    <row r="556" spans="1:3" x14ac:dyDescent="0.25">
      <c r="A556">
        <v>135753.766</v>
      </c>
      <c r="B556">
        <v>143799.5987</v>
      </c>
      <c r="C556">
        <v>3593</v>
      </c>
    </row>
    <row r="557" spans="1:3" x14ac:dyDescent="0.25">
      <c r="A557">
        <v>84426.509409999999</v>
      </c>
      <c r="B557">
        <v>84588.963040000002</v>
      </c>
      <c r="C557">
        <v>2114</v>
      </c>
    </row>
    <row r="558" spans="1:3" x14ac:dyDescent="0.25">
      <c r="A558">
        <v>70815.190289999999</v>
      </c>
      <c r="B558">
        <v>71913.068580000006</v>
      </c>
      <c r="C558">
        <v>1797</v>
      </c>
    </row>
    <row r="559" spans="1:3" x14ac:dyDescent="0.25">
      <c r="A559">
        <v>125983.15180000001</v>
      </c>
      <c r="B559">
        <v>127884.58719999999</v>
      </c>
      <c r="C559">
        <v>3195</v>
      </c>
    </row>
    <row r="560" spans="1:3" x14ac:dyDescent="0.25">
      <c r="A560">
        <v>142378.18400000001</v>
      </c>
      <c r="B560">
        <v>143924.56510000001</v>
      </c>
      <c r="C560">
        <v>3595</v>
      </c>
    </row>
    <row r="561" spans="1:3" x14ac:dyDescent="0.25">
      <c r="A561">
        <v>57427.680710000001</v>
      </c>
      <c r="B561">
        <v>58723.040529999998</v>
      </c>
      <c r="C561">
        <v>1467</v>
      </c>
    </row>
    <row r="562" spans="1:3" x14ac:dyDescent="0.25">
      <c r="A562">
        <v>63331.330999999998</v>
      </c>
      <c r="B562">
        <v>64690.059070000003</v>
      </c>
      <c r="C562">
        <v>1610</v>
      </c>
    </row>
    <row r="563" spans="1:3" x14ac:dyDescent="0.25">
      <c r="A563">
        <v>51241.028550000003</v>
      </c>
      <c r="B563">
        <v>52509.916219999999</v>
      </c>
      <c r="C563">
        <v>1307</v>
      </c>
    </row>
    <row r="564" spans="1:3" x14ac:dyDescent="0.25">
      <c r="A564">
        <v>80326.44081</v>
      </c>
      <c r="B564">
        <v>81730.270699999994</v>
      </c>
      <c r="C564">
        <v>2050</v>
      </c>
    </row>
    <row r="565" spans="1:3" x14ac:dyDescent="0.25">
      <c r="A565">
        <v>71912.565730000002</v>
      </c>
      <c r="B565">
        <v>73762.62917</v>
      </c>
      <c r="C565">
        <v>1849</v>
      </c>
    </row>
    <row r="566" spans="1:3" x14ac:dyDescent="0.25">
      <c r="A566">
        <v>119204.3095</v>
      </c>
      <c r="B566">
        <v>122669.6994</v>
      </c>
      <c r="C566">
        <v>3070</v>
      </c>
    </row>
    <row r="567" spans="1:3" x14ac:dyDescent="0.25">
      <c r="A567">
        <v>129441.2787</v>
      </c>
      <c r="B567">
        <v>132493.43150000001</v>
      </c>
      <c r="C567">
        <v>3322</v>
      </c>
    </row>
    <row r="568" spans="1:3" x14ac:dyDescent="0.25">
      <c r="A568">
        <v>77645.749939999994</v>
      </c>
      <c r="B568">
        <v>79555.634739999994</v>
      </c>
      <c r="C568">
        <v>1982</v>
      </c>
    </row>
    <row r="569" spans="1:3" x14ac:dyDescent="0.25">
      <c r="A569">
        <v>69926.65036</v>
      </c>
      <c r="B569">
        <v>71362.51784</v>
      </c>
      <c r="C569">
        <v>1787</v>
      </c>
    </row>
    <row r="570" spans="1:3" x14ac:dyDescent="0.25">
      <c r="A570">
        <v>71973.044299999994</v>
      </c>
      <c r="B570">
        <v>73851.788400000005</v>
      </c>
      <c r="C570">
        <v>1846</v>
      </c>
    </row>
    <row r="571" spans="1:3" x14ac:dyDescent="0.25">
      <c r="A571">
        <v>44304.898359999999</v>
      </c>
      <c r="B571">
        <v>45468.83698</v>
      </c>
      <c r="C571">
        <v>1142</v>
      </c>
    </row>
    <row r="572" spans="1:3" x14ac:dyDescent="0.25">
      <c r="A572">
        <v>66799.723729999998</v>
      </c>
      <c r="B572">
        <v>69323.647870000001</v>
      </c>
      <c r="C572">
        <v>1734</v>
      </c>
    </row>
    <row r="573" spans="1:3" x14ac:dyDescent="0.25">
      <c r="A573">
        <v>125689.5928</v>
      </c>
      <c r="B573">
        <v>130428.2264</v>
      </c>
      <c r="C573">
        <v>3259</v>
      </c>
    </row>
    <row r="574" spans="1:3" x14ac:dyDescent="0.25">
      <c r="A574">
        <v>138624.94500000001</v>
      </c>
      <c r="B574">
        <v>143537.3952</v>
      </c>
      <c r="C574">
        <v>3572</v>
      </c>
    </row>
    <row r="575" spans="1:3" x14ac:dyDescent="0.25">
      <c r="A575">
        <v>81715.045329999994</v>
      </c>
      <c r="B575">
        <v>85089.223429999998</v>
      </c>
      <c r="C575">
        <v>2109</v>
      </c>
    </row>
    <row r="576" spans="1:3" x14ac:dyDescent="0.25">
      <c r="A576">
        <v>86842.861359999995</v>
      </c>
      <c r="B576">
        <v>90242.794099999999</v>
      </c>
      <c r="C576">
        <v>2242</v>
      </c>
    </row>
    <row r="577" spans="1:3" x14ac:dyDescent="0.25">
      <c r="A577">
        <v>56976.785279999996</v>
      </c>
      <c r="B577">
        <v>59094.076860000001</v>
      </c>
      <c r="C577">
        <v>1474</v>
      </c>
    </row>
    <row r="578" spans="1:3" x14ac:dyDescent="0.25">
      <c r="A578">
        <v>53433.668030000001</v>
      </c>
      <c r="B578">
        <v>55516.525560000002</v>
      </c>
      <c r="C578">
        <v>1381</v>
      </c>
    </row>
    <row r="579" spans="1:3" x14ac:dyDescent="0.25">
      <c r="A579">
        <v>55134.081819999999</v>
      </c>
      <c r="B579">
        <v>57064.750699999997</v>
      </c>
      <c r="C579">
        <v>1423</v>
      </c>
    </row>
    <row r="580" spans="1:3" x14ac:dyDescent="0.25">
      <c r="A580">
        <v>145033.61079999999</v>
      </c>
      <c r="B580">
        <v>149876.87330000001</v>
      </c>
      <c r="C580">
        <v>3740</v>
      </c>
    </row>
    <row r="581" spans="1:3" x14ac:dyDescent="0.25">
      <c r="A581">
        <v>173306.90650000001</v>
      </c>
      <c r="B581">
        <v>178699.97589999999</v>
      </c>
      <c r="C581">
        <v>4453</v>
      </c>
    </row>
    <row r="582" spans="1:3" x14ac:dyDescent="0.25">
      <c r="A582">
        <v>88154.338709999996</v>
      </c>
      <c r="B582">
        <v>90828.661699999997</v>
      </c>
      <c r="C582">
        <v>2258</v>
      </c>
    </row>
    <row r="583" spans="1:3" x14ac:dyDescent="0.25">
      <c r="A583">
        <v>81142.027849999999</v>
      </c>
      <c r="B583">
        <v>83114.576809999999</v>
      </c>
      <c r="C583">
        <v>2074</v>
      </c>
    </row>
    <row r="584" spans="1:3" x14ac:dyDescent="0.25">
      <c r="A584">
        <v>77672.88278</v>
      </c>
      <c r="B584">
        <v>80417.746440000003</v>
      </c>
      <c r="C584">
        <v>2007</v>
      </c>
    </row>
    <row r="585" spans="1:3" x14ac:dyDescent="0.25">
      <c r="A585">
        <v>75483.422550000003</v>
      </c>
      <c r="B585">
        <v>78024.284679999997</v>
      </c>
      <c r="C585">
        <v>1948</v>
      </c>
    </row>
    <row r="586" spans="1:3" x14ac:dyDescent="0.25">
      <c r="A586">
        <v>74354.570099999997</v>
      </c>
      <c r="B586">
        <v>76978.305240000002</v>
      </c>
      <c r="C586">
        <v>1922</v>
      </c>
    </row>
    <row r="587" spans="1:3" x14ac:dyDescent="0.25">
      <c r="A587">
        <v>120326.8763</v>
      </c>
      <c r="B587">
        <v>123707.7616</v>
      </c>
      <c r="C587">
        <v>3088</v>
      </c>
    </row>
    <row r="588" spans="1:3" x14ac:dyDescent="0.25">
      <c r="A588">
        <v>131867.99350000001</v>
      </c>
      <c r="B588">
        <v>135721.42600000001</v>
      </c>
      <c r="C588">
        <v>3388</v>
      </c>
    </row>
    <row r="589" spans="1:3" x14ac:dyDescent="0.25">
      <c r="A589">
        <v>75504.002739999996</v>
      </c>
      <c r="B589">
        <v>77978.694470000002</v>
      </c>
      <c r="C589">
        <v>1944</v>
      </c>
    </row>
    <row r="590" spans="1:3" x14ac:dyDescent="0.25">
      <c r="A590">
        <v>69968.077699999994</v>
      </c>
      <c r="B590">
        <v>72665.725529999996</v>
      </c>
      <c r="C590">
        <v>1812</v>
      </c>
    </row>
    <row r="591" spans="1:3" x14ac:dyDescent="0.25">
      <c r="A591">
        <v>60187.14905</v>
      </c>
      <c r="B591">
        <v>62538.493280000002</v>
      </c>
      <c r="C591">
        <v>1563</v>
      </c>
    </row>
    <row r="592" spans="1:3" x14ac:dyDescent="0.25">
      <c r="A592">
        <v>44698.700750000004</v>
      </c>
      <c r="B592">
        <v>46849.567150000003</v>
      </c>
      <c r="C592">
        <v>1171</v>
      </c>
    </row>
    <row r="593" spans="1:3" x14ac:dyDescent="0.25">
      <c r="A593">
        <v>39463.409059999998</v>
      </c>
      <c r="B593">
        <v>41414.418369999999</v>
      </c>
      <c r="C593">
        <v>1035</v>
      </c>
    </row>
    <row r="594" spans="1:3" x14ac:dyDescent="0.25">
      <c r="A594">
        <v>85794.096900000004</v>
      </c>
      <c r="B594">
        <v>89898.894230000005</v>
      </c>
      <c r="C594">
        <v>2247</v>
      </c>
    </row>
    <row r="595" spans="1:3" x14ac:dyDescent="0.25">
      <c r="A595">
        <v>117288.0101</v>
      </c>
      <c r="B595">
        <v>122504.3572</v>
      </c>
      <c r="C595">
        <v>3068</v>
      </c>
    </row>
    <row r="596" spans="1:3" x14ac:dyDescent="0.25">
      <c r="A596">
        <v>71056.061000000002</v>
      </c>
      <c r="B596">
        <v>74589.172869999995</v>
      </c>
      <c r="C596">
        <v>1866</v>
      </c>
    </row>
    <row r="597" spans="1:3" x14ac:dyDescent="0.25">
      <c r="A597">
        <v>64394.07445</v>
      </c>
      <c r="B597">
        <v>67505.254140000005</v>
      </c>
      <c r="C597">
        <v>1690</v>
      </c>
    </row>
    <row r="598" spans="1:3" x14ac:dyDescent="0.25">
      <c r="A598">
        <v>35165.97208</v>
      </c>
      <c r="B598">
        <v>36841.967320000003</v>
      </c>
      <c r="C598">
        <v>922</v>
      </c>
    </row>
    <row r="599" spans="1:3" x14ac:dyDescent="0.25">
      <c r="A599">
        <v>23234.183199999999</v>
      </c>
      <c r="B599">
        <v>24104.08598</v>
      </c>
      <c r="C599">
        <v>604</v>
      </c>
    </row>
    <row r="600" spans="1:3" x14ac:dyDescent="0.25">
      <c r="A600">
        <v>24754.957180000001</v>
      </c>
      <c r="B600">
        <v>25407.174070000001</v>
      </c>
      <c r="C600">
        <v>643</v>
      </c>
    </row>
    <row r="601" spans="1:3" x14ac:dyDescent="0.25">
      <c r="A601">
        <v>76691.283030000006</v>
      </c>
      <c r="B601">
        <v>78691.956319999998</v>
      </c>
      <c r="C601">
        <v>2006</v>
      </c>
    </row>
    <row r="602" spans="1:3" x14ac:dyDescent="0.25">
      <c r="A602">
        <v>102231.2118</v>
      </c>
      <c r="B602">
        <v>104713.00750000001</v>
      </c>
      <c r="C602">
        <v>2677</v>
      </c>
    </row>
    <row r="603" spans="1:3" x14ac:dyDescent="0.25">
      <c r="A603">
        <v>56974.868029999998</v>
      </c>
      <c r="B603">
        <v>57548.98515</v>
      </c>
      <c r="C603">
        <v>1467</v>
      </c>
    </row>
    <row r="604" spans="1:3" x14ac:dyDescent="0.25">
      <c r="A604">
        <v>59442.731119999997</v>
      </c>
      <c r="B604">
        <v>59785.428610000003</v>
      </c>
      <c r="C604">
        <v>1528</v>
      </c>
    </row>
    <row r="605" spans="1:3" x14ac:dyDescent="0.25">
      <c r="A605">
        <v>217683.36230000001</v>
      </c>
      <c r="B605">
        <v>246975.73079999999</v>
      </c>
      <c r="C605">
        <v>6360</v>
      </c>
    </row>
    <row r="606" spans="1:3" x14ac:dyDescent="0.25">
      <c r="A606">
        <v>275458.80690000003</v>
      </c>
      <c r="B606">
        <v>307092.27439999999</v>
      </c>
      <c r="C606">
        <v>8035</v>
      </c>
    </row>
    <row r="607" spans="1:3" x14ac:dyDescent="0.25">
      <c r="A607">
        <v>228731.86550000001</v>
      </c>
      <c r="B607">
        <v>252845.44560000001</v>
      </c>
      <c r="C607">
        <v>6675</v>
      </c>
    </row>
    <row r="608" spans="1:3" x14ac:dyDescent="0.25">
      <c r="A608">
        <v>387639.12</v>
      </c>
      <c r="B608">
        <v>426783.30219999998</v>
      </c>
      <c r="C608">
        <v>11330</v>
      </c>
    </row>
    <row r="609" spans="1:3" x14ac:dyDescent="0.25">
      <c r="A609">
        <v>461188.0049</v>
      </c>
      <c r="B609">
        <v>504578.1888</v>
      </c>
      <c r="C609">
        <v>13484</v>
      </c>
    </row>
    <row r="610" spans="1:3" x14ac:dyDescent="0.25">
      <c r="A610">
        <v>202249.67720000001</v>
      </c>
      <c r="B610">
        <v>220152.1868</v>
      </c>
      <c r="C610">
        <v>5913</v>
      </c>
    </row>
    <row r="611" spans="1:3" x14ac:dyDescent="0.25">
      <c r="A611">
        <v>332559.76500000001</v>
      </c>
      <c r="B611">
        <v>361970.28590000002</v>
      </c>
      <c r="C611">
        <v>9721</v>
      </c>
    </row>
    <row r="612" spans="1:3" x14ac:dyDescent="0.25">
      <c r="A612">
        <v>384806.77159999998</v>
      </c>
      <c r="B612">
        <v>418101.59749999997</v>
      </c>
      <c r="C612">
        <v>11257</v>
      </c>
    </row>
    <row r="613" spans="1:3" x14ac:dyDescent="0.25">
      <c r="A613">
        <v>345776.25030000001</v>
      </c>
      <c r="B613">
        <v>373816.16840000002</v>
      </c>
      <c r="C613">
        <v>10102</v>
      </c>
    </row>
    <row r="614" spans="1:3" x14ac:dyDescent="0.25">
      <c r="A614">
        <v>271551.09509999998</v>
      </c>
      <c r="B614">
        <v>293343.87400000001</v>
      </c>
      <c r="C614">
        <v>7938</v>
      </c>
    </row>
    <row r="615" spans="1:3" x14ac:dyDescent="0.25">
      <c r="A615">
        <v>340440.20549999998</v>
      </c>
      <c r="B615">
        <v>366359.65860000002</v>
      </c>
      <c r="C615">
        <v>9936</v>
      </c>
    </row>
    <row r="616" spans="1:3" x14ac:dyDescent="0.25">
      <c r="A616">
        <v>364416.7316</v>
      </c>
      <c r="B616">
        <v>392128.30129999999</v>
      </c>
      <c r="C616">
        <v>10643</v>
      </c>
    </row>
    <row r="617" spans="1:3" x14ac:dyDescent="0.25">
      <c r="A617">
        <v>164719.60449999999</v>
      </c>
      <c r="B617">
        <v>176647.84270000001</v>
      </c>
      <c r="C617">
        <v>4800</v>
      </c>
    </row>
    <row r="618" spans="1:3" x14ac:dyDescent="0.25">
      <c r="A618">
        <v>178921.0993</v>
      </c>
      <c r="B618">
        <v>192507.5287</v>
      </c>
      <c r="C618">
        <v>5228</v>
      </c>
    </row>
    <row r="619" spans="1:3" x14ac:dyDescent="0.25">
      <c r="A619">
        <v>70286.997810000001</v>
      </c>
      <c r="B619">
        <v>66639.698050000006</v>
      </c>
      <c r="C619">
        <v>1810</v>
      </c>
    </row>
    <row r="620" spans="1:3" x14ac:dyDescent="0.25">
      <c r="A620">
        <v>76013.677899999995</v>
      </c>
      <c r="B620">
        <v>72211.103170000002</v>
      </c>
      <c r="C620">
        <v>1961</v>
      </c>
    </row>
    <row r="621" spans="1:3" x14ac:dyDescent="0.25">
      <c r="A621">
        <v>48406.787149999996</v>
      </c>
      <c r="B621">
        <v>45316.542730000001</v>
      </c>
      <c r="C621">
        <v>1232</v>
      </c>
    </row>
    <row r="622" spans="1:3" x14ac:dyDescent="0.25">
      <c r="A622">
        <v>85940.026939999996</v>
      </c>
      <c r="B622">
        <v>81559.845619999993</v>
      </c>
      <c r="C622">
        <v>2194</v>
      </c>
    </row>
    <row r="623" spans="1:3" x14ac:dyDescent="0.25">
      <c r="A623">
        <v>57381.751450000003</v>
      </c>
      <c r="B623">
        <v>54340.891510000001</v>
      </c>
      <c r="C623">
        <v>1469</v>
      </c>
    </row>
    <row r="624" spans="1:3" x14ac:dyDescent="0.25">
      <c r="A624">
        <v>32479.79639</v>
      </c>
      <c r="B624">
        <v>30763.688119999999</v>
      </c>
      <c r="C624">
        <v>829</v>
      </c>
    </row>
    <row r="625" spans="1:3" x14ac:dyDescent="0.25">
      <c r="A625">
        <v>52160.183929999999</v>
      </c>
      <c r="B625">
        <v>49656.007749999997</v>
      </c>
      <c r="C625">
        <v>1329</v>
      </c>
    </row>
    <row r="626" spans="1:3" x14ac:dyDescent="0.25">
      <c r="A626">
        <v>51002.839569999996</v>
      </c>
      <c r="B626">
        <v>48601.967499999999</v>
      </c>
      <c r="C626">
        <v>1300</v>
      </c>
    </row>
    <row r="627" spans="1:3" x14ac:dyDescent="0.25">
      <c r="A627">
        <v>30194.715960000001</v>
      </c>
      <c r="B627">
        <v>28605.460800000001</v>
      </c>
      <c r="C627">
        <v>773</v>
      </c>
    </row>
    <row r="628" spans="1:3" x14ac:dyDescent="0.25">
      <c r="A628">
        <v>29751.222610000001</v>
      </c>
      <c r="B628">
        <v>28084.235130000001</v>
      </c>
      <c r="C628">
        <v>760</v>
      </c>
    </row>
    <row r="629" spans="1:3" x14ac:dyDescent="0.25">
      <c r="A629">
        <v>68504.639439999999</v>
      </c>
      <c r="B629">
        <v>64881.97565</v>
      </c>
      <c r="C629">
        <v>1755</v>
      </c>
    </row>
    <row r="630" spans="1:3" x14ac:dyDescent="0.25">
      <c r="A630">
        <v>68996.561759999997</v>
      </c>
      <c r="B630">
        <v>65211.571770000002</v>
      </c>
      <c r="C630">
        <v>1766</v>
      </c>
    </row>
    <row r="631" spans="1:3" x14ac:dyDescent="0.25">
      <c r="A631">
        <v>41855.928760000003</v>
      </c>
      <c r="B631">
        <v>39629.451869999997</v>
      </c>
      <c r="C631">
        <v>1078</v>
      </c>
    </row>
    <row r="632" spans="1:3" x14ac:dyDescent="0.25">
      <c r="A632">
        <v>44303.466489999999</v>
      </c>
      <c r="B632">
        <v>41485.458720000002</v>
      </c>
      <c r="C632">
        <v>1124</v>
      </c>
    </row>
    <row r="633" spans="1:3" x14ac:dyDescent="0.25">
      <c r="A633">
        <v>46599.298130000003</v>
      </c>
      <c r="B633">
        <v>43806.73201</v>
      </c>
      <c r="C633">
        <v>1182</v>
      </c>
    </row>
    <row r="634" spans="1:3" x14ac:dyDescent="0.25">
      <c r="A634">
        <v>125182.75719999999</v>
      </c>
      <c r="B634">
        <v>138583.83780000001</v>
      </c>
      <c r="C634">
        <v>3725</v>
      </c>
    </row>
    <row r="635" spans="1:3" x14ac:dyDescent="0.25">
      <c r="A635">
        <v>150036.80499999999</v>
      </c>
      <c r="B635">
        <v>167704.8554</v>
      </c>
      <c r="C635">
        <v>4492</v>
      </c>
    </row>
    <row r="636" spans="1:3" x14ac:dyDescent="0.25">
      <c r="A636">
        <v>368037.69189999998</v>
      </c>
      <c r="B636">
        <v>413540.80719999998</v>
      </c>
      <c r="C636">
        <v>11030</v>
      </c>
    </row>
    <row r="637" spans="1:3" x14ac:dyDescent="0.25">
      <c r="A637">
        <v>351319.63809999998</v>
      </c>
      <c r="B637">
        <v>397626.58510000003</v>
      </c>
      <c r="C637">
        <v>10528</v>
      </c>
    </row>
    <row r="638" spans="1:3" x14ac:dyDescent="0.25">
      <c r="A638">
        <v>163289.93669999999</v>
      </c>
      <c r="B638">
        <v>185404.04399999999</v>
      </c>
      <c r="C638">
        <v>4895</v>
      </c>
    </row>
    <row r="639" spans="1:3" x14ac:dyDescent="0.25">
      <c r="A639">
        <v>190892.459</v>
      </c>
      <c r="B639">
        <v>216571.0595</v>
      </c>
      <c r="C639">
        <v>5720</v>
      </c>
    </row>
    <row r="640" spans="1:3" x14ac:dyDescent="0.25">
      <c r="A640">
        <v>143082.13329999999</v>
      </c>
      <c r="B640">
        <v>162929.01850000001</v>
      </c>
      <c r="C640">
        <v>4288</v>
      </c>
    </row>
    <row r="641" spans="1:3" x14ac:dyDescent="0.25">
      <c r="A641">
        <v>323548.78529999999</v>
      </c>
      <c r="B641">
        <v>368434.88589999999</v>
      </c>
      <c r="C641">
        <v>9693</v>
      </c>
    </row>
    <row r="642" spans="1:3" x14ac:dyDescent="0.25">
      <c r="A642">
        <v>402312.33319999999</v>
      </c>
      <c r="B642">
        <v>459285.80450000003</v>
      </c>
      <c r="C642">
        <v>12065</v>
      </c>
    </row>
    <row r="643" spans="1:3" x14ac:dyDescent="0.25">
      <c r="A643">
        <v>393635.17489999998</v>
      </c>
      <c r="B643">
        <v>448390.96580000001</v>
      </c>
      <c r="C643">
        <v>11758</v>
      </c>
    </row>
    <row r="644" spans="1:3" x14ac:dyDescent="0.25">
      <c r="A644">
        <v>451100.0601</v>
      </c>
      <c r="B644">
        <v>515549.38990000001</v>
      </c>
      <c r="C644">
        <v>13508</v>
      </c>
    </row>
    <row r="645" spans="1:3" x14ac:dyDescent="0.25">
      <c r="A645">
        <v>202902.6249</v>
      </c>
      <c r="B645">
        <v>232360.3272</v>
      </c>
      <c r="C645">
        <v>6085</v>
      </c>
    </row>
    <row r="646" spans="1:3" x14ac:dyDescent="0.25">
      <c r="A646">
        <v>294557.64640000003</v>
      </c>
      <c r="B646">
        <v>336897.92239999998</v>
      </c>
      <c r="C646">
        <v>8828</v>
      </c>
    </row>
    <row r="647" spans="1:3" x14ac:dyDescent="0.25">
      <c r="A647">
        <v>221618.32819999999</v>
      </c>
      <c r="B647">
        <v>253291.06229999999</v>
      </c>
      <c r="C647">
        <v>6636</v>
      </c>
    </row>
    <row r="648" spans="1:3" x14ac:dyDescent="0.25">
      <c r="A648">
        <v>63968.38248</v>
      </c>
      <c r="B648">
        <v>61942.842680000002</v>
      </c>
      <c r="C648">
        <v>1622</v>
      </c>
    </row>
    <row r="649" spans="1:3" x14ac:dyDescent="0.25">
      <c r="A649">
        <v>59609.544710000002</v>
      </c>
      <c r="B649">
        <v>57736.47666</v>
      </c>
      <c r="C649">
        <v>1512</v>
      </c>
    </row>
    <row r="650" spans="1:3" x14ac:dyDescent="0.25">
      <c r="A650">
        <v>126588.253</v>
      </c>
      <c r="B650">
        <v>122622.3631</v>
      </c>
      <c r="C650">
        <v>3211</v>
      </c>
    </row>
    <row r="651" spans="1:3" x14ac:dyDescent="0.25">
      <c r="A651">
        <v>119755.0116</v>
      </c>
      <c r="B651">
        <v>116003.6869</v>
      </c>
      <c r="C651">
        <v>3037</v>
      </c>
    </row>
    <row r="652" spans="1:3" x14ac:dyDescent="0.25">
      <c r="A652">
        <v>57413.410479999999</v>
      </c>
      <c r="B652">
        <v>55617.584640000001</v>
      </c>
      <c r="C652">
        <v>1456</v>
      </c>
    </row>
    <row r="653" spans="1:3" x14ac:dyDescent="0.25">
      <c r="A653">
        <v>57749.136939999997</v>
      </c>
      <c r="B653">
        <v>55933.008580000002</v>
      </c>
      <c r="C653">
        <v>1465</v>
      </c>
    </row>
    <row r="654" spans="1:3" x14ac:dyDescent="0.25">
      <c r="A654">
        <v>40140.820030000003</v>
      </c>
      <c r="B654">
        <v>38881.08844</v>
      </c>
      <c r="C654">
        <v>1018</v>
      </c>
    </row>
    <row r="655" spans="1:3" x14ac:dyDescent="0.25">
      <c r="A655">
        <v>42195.817360000001</v>
      </c>
      <c r="B655">
        <v>40869.249470000002</v>
      </c>
      <c r="C655">
        <v>1070</v>
      </c>
    </row>
    <row r="656" spans="1:3" x14ac:dyDescent="0.25">
      <c r="A656">
        <v>53490.797469999998</v>
      </c>
      <c r="B656">
        <v>51799.1659</v>
      </c>
      <c r="C656">
        <v>1357</v>
      </c>
    </row>
    <row r="657" spans="1:3" x14ac:dyDescent="0.25">
      <c r="A657">
        <v>110809.3158</v>
      </c>
      <c r="B657">
        <v>107331.98050000001</v>
      </c>
      <c r="C657">
        <v>2810</v>
      </c>
    </row>
    <row r="658" spans="1:3" x14ac:dyDescent="0.25">
      <c r="A658">
        <v>111527.0135</v>
      </c>
      <c r="B658">
        <v>108023.6073</v>
      </c>
      <c r="C658">
        <v>2829</v>
      </c>
    </row>
    <row r="659" spans="1:3" x14ac:dyDescent="0.25">
      <c r="A659">
        <v>59808.13867</v>
      </c>
      <c r="B659">
        <v>57937.458659999997</v>
      </c>
      <c r="C659">
        <v>1517</v>
      </c>
    </row>
    <row r="660" spans="1:3" x14ac:dyDescent="0.25">
      <c r="A660">
        <v>55166.22623</v>
      </c>
      <c r="B660">
        <v>53436.897089999999</v>
      </c>
      <c r="C660">
        <v>1399</v>
      </c>
    </row>
    <row r="661" spans="1:3" x14ac:dyDescent="0.25">
      <c r="A661">
        <v>42054.680469999999</v>
      </c>
      <c r="B661">
        <v>40736.150479999997</v>
      </c>
      <c r="C661">
        <v>1067</v>
      </c>
    </row>
    <row r="662" spans="1:3" x14ac:dyDescent="0.25">
      <c r="A662">
        <v>53678.179109999997</v>
      </c>
      <c r="B662">
        <v>51999.860869999997</v>
      </c>
      <c r="C662">
        <v>1361</v>
      </c>
    </row>
    <row r="663" spans="1:3" x14ac:dyDescent="0.25">
      <c r="A663">
        <v>55930.168640000004</v>
      </c>
      <c r="B663">
        <v>54177.690060000001</v>
      </c>
      <c r="C663">
        <v>1419</v>
      </c>
    </row>
    <row r="664" spans="1:3" x14ac:dyDescent="0.25">
      <c r="A664">
        <v>185771.00150000001</v>
      </c>
      <c r="B664">
        <v>192527.011</v>
      </c>
      <c r="C664">
        <v>5042</v>
      </c>
    </row>
    <row r="665" spans="1:3" x14ac:dyDescent="0.25">
      <c r="A665">
        <v>253116.91320000001</v>
      </c>
      <c r="B665">
        <v>262409.56939999998</v>
      </c>
      <c r="C665">
        <v>6872</v>
      </c>
    </row>
    <row r="666" spans="1:3" x14ac:dyDescent="0.25">
      <c r="A666">
        <v>118618.4537</v>
      </c>
      <c r="B666">
        <v>122915.26700000001</v>
      </c>
      <c r="C666">
        <v>3218</v>
      </c>
    </row>
    <row r="667" spans="1:3" x14ac:dyDescent="0.25">
      <c r="A667">
        <v>123320.784</v>
      </c>
      <c r="B667">
        <v>128133.77860000001</v>
      </c>
      <c r="C667">
        <v>3347</v>
      </c>
    </row>
    <row r="668" spans="1:3" x14ac:dyDescent="0.25">
      <c r="A668">
        <v>117051.2772</v>
      </c>
      <c r="B668">
        <v>122175.0003</v>
      </c>
      <c r="C668">
        <v>3177</v>
      </c>
    </row>
    <row r="669" spans="1:3" x14ac:dyDescent="0.25">
      <c r="A669">
        <v>159299.98910000001</v>
      </c>
      <c r="B669">
        <v>174699.07670000001</v>
      </c>
      <c r="C669">
        <v>4532</v>
      </c>
    </row>
    <row r="670" spans="1:3" x14ac:dyDescent="0.25">
      <c r="A670">
        <v>119047.4099</v>
      </c>
      <c r="B670">
        <v>124349.26549999999</v>
      </c>
      <c r="C670">
        <v>3231</v>
      </c>
    </row>
    <row r="671" spans="1:3" x14ac:dyDescent="0.25">
      <c r="A671">
        <v>285081.9743</v>
      </c>
      <c r="B671">
        <v>297627.69069999998</v>
      </c>
      <c r="C671">
        <v>7731</v>
      </c>
    </row>
    <row r="672" spans="1:3" x14ac:dyDescent="0.25">
      <c r="A672">
        <v>391656.21260000003</v>
      </c>
      <c r="B672">
        <v>429832.83480000001</v>
      </c>
      <c r="C672">
        <v>11148</v>
      </c>
    </row>
    <row r="673" spans="1:3" x14ac:dyDescent="0.25">
      <c r="A673">
        <v>274814.7781</v>
      </c>
      <c r="B673">
        <v>287978.17489999998</v>
      </c>
      <c r="C673">
        <v>7459</v>
      </c>
    </row>
    <row r="674" spans="1:3" x14ac:dyDescent="0.25">
      <c r="A674">
        <v>269555.02309999999</v>
      </c>
      <c r="B674">
        <v>281915.19209999999</v>
      </c>
      <c r="C674">
        <v>7316</v>
      </c>
    </row>
    <row r="675" spans="1:3" x14ac:dyDescent="0.25">
      <c r="A675">
        <v>192001.03460000001</v>
      </c>
      <c r="B675">
        <v>201125.77549999999</v>
      </c>
      <c r="C675">
        <v>5211</v>
      </c>
    </row>
    <row r="676" spans="1:3" x14ac:dyDescent="0.25">
      <c r="A676">
        <v>201367.78700000001</v>
      </c>
      <c r="B676">
        <v>220579.99559999999</v>
      </c>
      <c r="C676">
        <v>5731</v>
      </c>
    </row>
    <row r="677" spans="1:3" x14ac:dyDescent="0.25">
      <c r="A677">
        <v>111874.55899999999</v>
      </c>
      <c r="B677">
        <v>116637.0343</v>
      </c>
      <c r="C677">
        <v>3036</v>
      </c>
    </row>
    <row r="678" spans="1:3" x14ac:dyDescent="0.25">
      <c r="A678">
        <v>214540.33309999999</v>
      </c>
      <c r="B678">
        <v>223738.4327</v>
      </c>
      <c r="C678">
        <v>5822</v>
      </c>
    </row>
    <row r="679" spans="1:3" x14ac:dyDescent="0.25">
      <c r="A679">
        <v>280264.24449999997</v>
      </c>
      <c r="B679">
        <v>306935.16039999999</v>
      </c>
      <c r="C679">
        <v>7987</v>
      </c>
    </row>
    <row r="680" spans="1:3" x14ac:dyDescent="0.25">
      <c r="A680">
        <v>134136.72870000001</v>
      </c>
      <c r="B680">
        <v>140236.3033</v>
      </c>
      <c r="C680">
        <v>3640</v>
      </c>
    </row>
    <row r="681" spans="1:3" x14ac:dyDescent="0.25">
      <c r="A681">
        <v>94243.465530000001</v>
      </c>
      <c r="B681">
        <v>89949.304170000003</v>
      </c>
      <c r="C681">
        <v>2338</v>
      </c>
    </row>
    <row r="682" spans="1:3" x14ac:dyDescent="0.25">
      <c r="A682">
        <v>131436.1979</v>
      </c>
      <c r="B682">
        <v>143823.38639999999</v>
      </c>
      <c r="C682">
        <v>3744</v>
      </c>
    </row>
    <row r="683" spans="1:3" x14ac:dyDescent="0.25">
      <c r="A683">
        <v>147893.94149999999</v>
      </c>
      <c r="B683">
        <v>161665.60060000001</v>
      </c>
      <c r="C683">
        <v>4216</v>
      </c>
    </row>
    <row r="684" spans="1:3" x14ac:dyDescent="0.25">
      <c r="A684">
        <v>140238.39050000001</v>
      </c>
      <c r="B684">
        <v>153481.4534</v>
      </c>
      <c r="C684">
        <v>4000</v>
      </c>
    </row>
    <row r="685" spans="1:3" x14ac:dyDescent="0.25">
      <c r="A685">
        <v>358183.77399999998</v>
      </c>
      <c r="B685">
        <v>391310.32069999998</v>
      </c>
      <c r="C685">
        <v>10204</v>
      </c>
    </row>
    <row r="686" spans="1:3" x14ac:dyDescent="0.25">
      <c r="A686">
        <v>377937.13870000001</v>
      </c>
      <c r="B686">
        <v>413010.22899999999</v>
      </c>
      <c r="C686">
        <v>10769</v>
      </c>
    </row>
    <row r="687" spans="1:3" x14ac:dyDescent="0.25">
      <c r="A687">
        <v>168729.96239999999</v>
      </c>
      <c r="B687">
        <v>184673.48850000001</v>
      </c>
      <c r="C687">
        <v>4803</v>
      </c>
    </row>
    <row r="688" spans="1:3" x14ac:dyDescent="0.25">
      <c r="A688">
        <v>177192.5698</v>
      </c>
      <c r="B688">
        <v>193615.30369999999</v>
      </c>
      <c r="C688">
        <v>5042</v>
      </c>
    </row>
    <row r="689" spans="1:3" x14ac:dyDescent="0.25">
      <c r="A689">
        <v>152368.74909999999</v>
      </c>
      <c r="B689">
        <v>166625.36499999999</v>
      </c>
      <c r="C689">
        <v>4342</v>
      </c>
    </row>
    <row r="690" spans="1:3" x14ac:dyDescent="0.25">
      <c r="A690">
        <v>147471.80489999999</v>
      </c>
      <c r="B690">
        <v>161402.91870000001</v>
      </c>
      <c r="C690">
        <v>4202</v>
      </c>
    </row>
    <row r="691" spans="1:3" x14ac:dyDescent="0.25">
      <c r="A691">
        <v>145697.152</v>
      </c>
      <c r="B691">
        <v>159317.60939999999</v>
      </c>
      <c r="C691">
        <v>4151</v>
      </c>
    </row>
    <row r="692" spans="1:3" x14ac:dyDescent="0.25">
      <c r="A692">
        <v>301033.9865</v>
      </c>
      <c r="B692">
        <v>328965.1433</v>
      </c>
      <c r="C692">
        <v>8567</v>
      </c>
    </row>
    <row r="693" spans="1:3" x14ac:dyDescent="0.25">
      <c r="A693">
        <v>309518.07209999999</v>
      </c>
      <c r="B693">
        <v>338720.02360000001</v>
      </c>
      <c r="C693">
        <v>8811</v>
      </c>
    </row>
    <row r="694" spans="1:3" x14ac:dyDescent="0.25">
      <c r="A694">
        <v>152504.6317</v>
      </c>
      <c r="B694">
        <v>167600.65090000001</v>
      </c>
      <c r="C694">
        <v>4345</v>
      </c>
    </row>
    <row r="695" spans="1:3" x14ac:dyDescent="0.25">
      <c r="A695">
        <v>79711.583410000007</v>
      </c>
      <c r="B695">
        <v>74375.788709999993</v>
      </c>
      <c r="C695">
        <v>1937</v>
      </c>
    </row>
    <row r="696" spans="1:3" x14ac:dyDescent="0.25">
      <c r="A696">
        <v>111021.37910000001</v>
      </c>
      <c r="B696">
        <v>121456.524</v>
      </c>
      <c r="C696">
        <v>3160</v>
      </c>
    </row>
    <row r="697" spans="1:3" x14ac:dyDescent="0.25">
      <c r="A697">
        <v>243161.2592</v>
      </c>
      <c r="B697">
        <v>266054.36989999999</v>
      </c>
      <c r="C697">
        <v>6924</v>
      </c>
    </row>
    <row r="698" spans="1:3" x14ac:dyDescent="0.25">
      <c r="A698">
        <v>311443.18119999999</v>
      </c>
      <c r="B698">
        <v>355343.87180000002</v>
      </c>
      <c r="C698">
        <v>9273</v>
      </c>
    </row>
    <row r="699" spans="1:3" x14ac:dyDescent="0.25">
      <c r="A699">
        <v>375876.0134</v>
      </c>
      <c r="B699">
        <v>431325.68670000002</v>
      </c>
      <c r="C699">
        <v>11257</v>
      </c>
    </row>
    <row r="700" spans="1:3" x14ac:dyDescent="0.25">
      <c r="A700">
        <v>434639.65899999999</v>
      </c>
      <c r="B700">
        <v>498895.61859999999</v>
      </c>
      <c r="C700">
        <v>13019</v>
      </c>
    </row>
    <row r="701" spans="1:3" x14ac:dyDescent="0.25">
      <c r="A701">
        <v>238637.81640000001</v>
      </c>
      <c r="B701">
        <v>274093.57799999998</v>
      </c>
      <c r="C701">
        <v>7139</v>
      </c>
    </row>
    <row r="702" spans="1:3" x14ac:dyDescent="0.25">
      <c r="A702">
        <v>260653.66699999999</v>
      </c>
      <c r="B702">
        <v>283981.1507</v>
      </c>
      <c r="C702">
        <v>7423</v>
      </c>
    </row>
    <row r="703" spans="1:3" x14ac:dyDescent="0.25">
      <c r="A703">
        <v>262394.78000000003</v>
      </c>
      <c r="B703">
        <v>285838.55680000002</v>
      </c>
      <c r="C703">
        <v>7474</v>
      </c>
    </row>
    <row r="704" spans="1:3" x14ac:dyDescent="0.25">
      <c r="A704">
        <v>248437.7113</v>
      </c>
      <c r="B704">
        <v>269807.62040000001</v>
      </c>
      <c r="C704">
        <v>7056</v>
      </c>
    </row>
    <row r="705" spans="1:3" x14ac:dyDescent="0.25">
      <c r="A705">
        <v>201048.83050000001</v>
      </c>
      <c r="B705">
        <v>219110.39319999999</v>
      </c>
      <c r="C705">
        <v>5732</v>
      </c>
    </row>
    <row r="706" spans="1:3" x14ac:dyDescent="0.25">
      <c r="A706">
        <v>317690.76089999999</v>
      </c>
      <c r="B706">
        <v>345449.52990000002</v>
      </c>
      <c r="C706">
        <v>9038</v>
      </c>
    </row>
    <row r="707" spans="1:3" x14ac:dyDescent="0.25">
      <c r="A707">
        <v>378527.8726</v>
      </c>
      <c r="B707">
        <v>410385.03700000001</v>
      </c>
      <c r="C707">
        <v>10737</v>
      </c>
    </row>
    <row r="708" spans="1:3" x14ac:dyDescent="0.25">
      <c r="A708">
        <v>195425.39110000001</v>
      </c>
      <c r="B708">
        <v>210461.38620000001</v>
      </c>
      <c r="C708">
        <v>5505</v>
      </c>
    </row>
    <row r="709" spans="1:3" x14ac:dyDescent="0.25">
      <c r="A709">
        <v>90441.603369999997</v>
      </c>
      <c r="B709">
        <v>83999.591249999998</v>
      </c>
      <c r="C709">
        <v>2198</v>
      </c>
    </row>
    <row r="710" spans="1:3" x14ac:dyDescent="0.25">
      <c r="A710">
        <v>117649.0006</v>
      </c>
      <c r="B710">
        <v>121640.3798</v>
      </c>
      <c r="C710">
        <v>3190</v>
      </c>
    </row>
    <row r="711" spans="1:3" x14ac:dyDescent="0.25">
      <c r="A711">
        <v>141285.39550000001</v>
      </c>
      <c r="B711">
        <v>145443.0466</v>
      </c>
      <c r="C711">
        <v>3814</v>
      </c>
    </row>
    <row r="712" spans="1:3" x14ac:dyDescent="0.25">
      <c r="A712">
        <v>133183.6937</v>
      </c>
      <c r="B712">
        <v>137725.87609999999</v>
      </c>
      <c r="C712">
        <v>3610</v>
      </c>
    </row>
    <row r="713" spans="1:3" x14ac:dyDescent="0.25">
      <c r="A713">
        <v>229672.25630000001</v>
      </c>
      <c r="B713">
        <v>237672.01639999999</v>
      </c>
      <c r="C713">
        <v>6227</v>
      </c>
    </row>
    <row r="714" spans="1:3" x14ac:dyDescent="0.25">
      <c r="A714">
        <v>333488.79790000001</v>
      </c>
      <c r="B714">
        <v>359621.07490000001</v>
      </c>
      <c r="C714">
        <v>9422</v>
      </c>
    </row>
    <row r="715" spans="1:3" x14ac:dyDescent="0.25">
      <c r="A715">
        <v>185422.88560000001</v>
      </c>
      <c r="B715">
        <v>191390.4013</v>
      </c>
      <c r="C715">
        <v>5014</v>
      </c>
    </row>
    <row r="716" spans="1:3" x14ac:dyDescent="0.25">
      <c r="A716">
        <v>173833.13320000001</v>
      </c>
      <c r="B716">
        <v>179871.0533</v>
      </c>
      <c r="C716">
        <v>4715</v>
      </c>
    </row>
    <row r="717" spans="1:3" x14ac:dyDescent="0.25">
      <c r="A717">
        <v>220271.72140000001</v>
      </c>
      <c r="B717">
        <v>237123.34330000001</v>
      </c>
      <c r="C717">
        <v>6212</v>
      </c>
    </row>
    <row r="718" spans="1:3" x14ac:dyDescent="0.25">
      <c r="A718">
        <v>234468.07120000001</v>
      </c>
      <c r="B718">
        <v>251493.90890000001</v>
      </c>
      <c r="C718">
        <v>6585</v>
      </c>
    </row>
    <row r="719" spans="1:3" x14ac:dyDescent="0.25">
      <c r="A719">
        <v>213778.13810000001</v>
      </c>
      <c r="B719">
        <v>230994.35519999999</v>
      </c>
      <c r="C719">
        <v>6051</v>
      </c>
    </row>
    <row r="720" spans="1:3" x14ac:dyDescent="0.25">
      <c r="A720">
        <v>273563.0148</v>
      </c>
      <c r="B720">
        <v>295854.55229999998</v>
      </c>
      <c r="C720">
        <v>7750</v>
      </c>
    </row>
    <row r="721" spans="1:3" x14ac:dyDescent="0.25">
      <c r="A721">
        <v>337506.78840000002</v>
      </c>
      <c r="B721">
        <v>362223.16090000002</v>
      </c>
      <c r="C721">
        <v>9490</v>
      </c>
    </row>
    <row r="722" spans="1:3" x14ac:dyDescent="0.25">
      <c r="A722">
        <v>155312.78390000001</v>
      </c>
      <c r="B722">
        <v>167421.9737</v>
      </c>
      <c r="C722">
        <v>4382</v>
      </c>
    </row>
    <row r="723" spans="1:3" x14ac:dyDescent="0.25">
      <c r="A723">
        <v>289243.38309999998</v>
      </c>
      <c r="B723">
        <v>312784.9743</v>
      </c>
      <c r="C723">
        <v>8196</v>
      </c>
    </row>
    <row r="724" spans="1:3" x14ac:dyDescent="0.25">
      <c r="A724">
        <v>313125.33250000002</v>
      </c>
      <c r="B724">
        <v>338299.61780000001</v>
      </c>
      <c r="C724">
        <v>8863</v>
      </c>
    </row>
    <row r="725" spans="1:3" x14ac:dyDescent="0.25">
      <c r="A725">
        <v>268330.39270000003</v>
      </c>
      <c r="B725">
        <v>249584.21520000001</v>
      </c>
      <c r="C725">
        <v>6534</v>
      </c>
    </row>
    <row r="726" spans="1:3" x14ac:dyDescent="0.25">
      <c r="A726">
        <v>392228.13799999998</v>
      </c>
      <c r="B726">
        <v>364396.19420000003</v>
      </c>
      <c r="C726">
        <v>9540</v>
      </c>
    </row>
    <row r="727" spans="1:3" x14ac:dyDescent="0.25">
      <c r="A727">
        <v>133728.98370000001</v>
      </c>
      <c r="B727">
        <v>124363.5573</v>
      </c>
      <c r="C727">
        <v>3256</v>
      </c>
    </row>
    <row r="728" spans="1:3" x14ac:dyDescent="0.25">
      <c r="A728">
        <v>82778.444050000006</v>
      </c>
      <c r="B728">
        <v>76876.492700000003</v>
      </c>
      <c r="C728">
        <v>2013</v>
      </c>
    </row>
    <row r="729" spans="1:3" x14ac:dyDescent="0.25">
      <c r="A729">
        <v>69522.836970000004</v>
      </c>
      <c r="B729">
        <v>64616.076650000003</v>
      </c>
      <c r="C729">
        <v>1692</v>
      </c>
    </row>
    <row r="730" spans="1:3" x14ac:dyDescent="0.25">
      <c r="A730">
        <v>133021.27280000001</v>
      </c>
      <c r="B730">
        <v>123500.78780000001</v>
      </c>
      <c r="C730">
        <v>3234</v>
      </c>
    </row>
    <row r="731" spans="1:3" x14ac:dyDescent="0.25">
      <c r="A731">
        <v>161267.52059999999</v>
      </c>
      <c r="B731">
        <v>175378.1459</v>
      </c>
      <c r="C731">
        <v>4592</v>
      </c>
    </row>
    <row r="732" spans="1:3" x14ac:dyDescent="0.25">
      <c r="A732">
        <v>208583.21799999999</v>
      </c>
      <c r="B732">
        <v>227060.26269999999</v>
      </c>
      <c r="C732">
        <v>5945</v>
      </c>
    </row>
    <row r="733" spans="1:3" x14ac:dyDescent="0.25">
      <c r="A733">
        <v>325457.52500000002</v>
      </c>
      <c r="B733">
        <v>353929.73839999997</v>
      </c>
      <c r="C733">
        <v>9266</v>
      </c>
    </row>
    <row r="734" spans="1:3" x14ac:dyDescent="0.25">
      <c r="A734">
        <v>111650.2398</v>
      </c>
      <c r="B734">
        <v>121448.2838</v>
      </c>
      <c r="C734">
        <v>3179</v>
      </c>
    </row>
    <row r="735" spans="1:3" x14ac:dyDescent="0.25">
      <c r="A735">
        <v>262421.2819</v>
      </c>
      <c r="B735">
        <v>285675.84570000001</v>
      </c>
      <c r="C735">
        <v>7479</v>
      </c>
    </row>
    <row r="736" spans="1:3" x14ac:dyDescent="0.25">
      <c r="A736">
        <v>164527.53890000001</v>
      </c>
      <c r="B736">
        <v>179308.94949999999</v>
      </c>
      <c r="C736">
        <v>4694</v>
      </c>
    </row>
    <row r="737" spans="1:3" x14ac:dyDescent="0.25">
      <c r="A737">
        <v>274990.14649999997</v>
      </c>
      <c r="B737">
        <v>299576.2414</v>
      </c>
      <c r="C737">
        <v>7843</v>
      </c>
    </row>
    <row r="738" spans="1:3" x14ac:dyDescent="0.25">
      <c r="A738">
        <v>215737.84280000001</v>
      </c>
      <c r="B738">
        <v>234642.0857</v>
      </c>
      <c r="C738">
        <v>6150</v>
      </c>
    </row>
    <row r="739" spans="1:3" x14ac:dyDescent="0.25">
      <c r="A739">
        <v>98646.982699999993</v>
      </c>
      <c r="B739">
        <v>91610.559999999998</v>
      </c>
      <c r="C739">
        <v>2401</v>
      </c>
    </row>
    <row r="740" spans="1:3" x14ac:dyDescent="0.25">
      <c r="A740">
        <v>74401.215289999993</v>
      </c>
      <c r="B740">
        <v>68988.861260000005</v>
      </c>
      <c r="C740">
        <v>1808</v>
      </c>
    </row>
    <row r="741" spans="1:3" x14ac:dyDescent="0.25">
      <c r="A741">
        <v>106592.34299999999</v>
      </c>
      <c r="B741">
        <v>99021.682920000007</v>
      </c>
      <c r="C741">
        <v>2594</v>
      </c>
    </row>
    <row r="742" spans="1:3" x14ac:dyDescent="0.25">
      <c r="A742">
        <v>134629.65820000001</v>
      </c>
      <c r="B742">
        <v>124963.46550000001</v>
      </c>
      <c r="C742">
        <v>3274</v>
      </c>
    </row>
    <row r="743" spans="1:3" x14ac:dyDescent="0.25">
      <c r="A743">
        <v>90773.653059999997</v>
      </c>
      <c r="B743">
        <v>84299.288239999994</v>
      </c>
      <c r="C743">
        <v>2207</v>
      </c>
    </row>
    <row r="744" spans="1:3" x14ac:dyDescent="0.25">
      <c r="A744">
        <v>121373.06819999999</v>
      </c>
      <c r="B744">
        <v>112550.4323</v>
      </c>
      <c r="C744">
        <v>2949</v>
      </c>
    </row>
    <row r="745" spans="1:3" x14ac:dyDescent="0.25">
      <c r="A745">
        <v>99445.557100000005</v>
      </c>
      <c r="B745">
        <v>92226.518100000001</v>
      </c>
      <c r="C745">
        <v>2417</v>
      </c>
    </row>
    <row r="746" spans="1:3" x14ac:dyDescent="0.25">
      <c r="A746">
        <v>67587.546929999997</v>
      </c>
      <c r="B746">
        <v>62760.356829999997</v>
      </c>
      <c r="C746">
        <v>1644</v>
      </c>
    </row>
    <row r="747" spans="1:3" x14ac:dyDescent="0.25">
      <c r="A747">
        <v>61685.935239999999</v>
      </c>
      <c r="B747">
        <v>57191.439319999998</v>
      </c>
      <c r="C747">
        <v>1499</v>
      </c>
    </row>
    <row r="748" spans="1:3" x14ac:dyDescent="0.25">
      <c r="A748">
        <v>150006.92980000001</v>
      </c>
      <c r="B748">
        <v>139244.8958</v>
      </c>
      <c r="C748">
        <v>3648</v>
      </c>
    </row>
    <row r="749" spans="1:3" x14ac:dyDescent="0.25">
      <c r="A749">
        <v>191287.3535</v>
      </c>
      <c r="B749">
        <v>177577.28719999999</v>
      </c>
      <c r="C749">
        <v>4652</v>
      </c>
    </row>
    <row r="750" spans="1:3" x14ac:dyDescent="0.25">
      <c r="A750">
        <v>92595.46084</v>
      </c>
      <c r="B750">
        <v>86018.189610000001</v>
      </c>
      <c r="C750">
        <v>2252</v>
      </c>
    </row>
    <row r="751" spans="1:3" x14ac:dyDescent="0.25">
      <c r="A751">
        <v>96947.05429</v>
      </c>
      <c r="B751">
        <v>89961.359500000006</v>
      </c>
      <c r="C751">
        <v>2357</v>
      </c>
    </row>
    <row r="752" spans="1:3" x14ac:dyDescent="0.25">
      <c r="A752">
        <v>70512.894499999995</v>
      </c>
      <c r="B752">
        <v>65453.276389999999</v>
      </c>
      <c r="C752">
        <v>1715</v>
      </c>
    </row>
    <row r="753" spans="1:3" x14ac:dyDescent="0.25">
      <c r="A753">
        <v>159590.4901</v>
      </c>
      <c r="B753">
        <v>182351.13879999999</v>
      </c>
      <c r="C753">
        <v>4776</v>
      </c>
    </row>
    <row r="754" spans="1:3" x14ac:dyDescent="0.25">
      <c r="A754">
        <v>67046.273419999998</v>
      </c>
      <c r="B754">
        <v>61894.262560000003</v>
      </c>
      <c r="C754">
        <v>1628</v>
      </c>
    </row>
    <row r="755" spans="1:3" x14ac:dyDescent="0.25">
      <c r="A755">
        <v>266949.23879999999</v>
      </c>
      <c r="B755">
        <v>294322.92719999998</v>
      </c>
      <c r="C755">
        <v>7806</v>
      </c>
    </row>
    <row r="756" spans="1:3" x14ac:dyDescent="0.25">
      <c r="A756">
        <v>315272.22480000003</v>
      </c>
      <c r="B756">
        <v>346093.06699999998</v>
      </c>
      <c r="C756">
        <v>9210</v>
      </c>
    </row>
    <row r="757" spans="1:3" x14ac:dyDescent="0.25">
      <c r="A757">
        <v>149138.9215</v>
      </c>
      <c r="B757">
        <v>163505.71299999999</v>
      </c>
      <c r="C757">
        <v>4351</v>
      </c>
    </row>
    <row r="758" spans="1:3" x14ac:dyDescent="0.25">
      <c r="A758">
        <v>215171.03820000001</v>
      </c>
      <c r="B758">
        <v>234621.59890000001</v>
      </c>
      <c r="C758">
        <v>6278</v>
      </c>
    </row>
    <row r="759" spans="1:3" x14ac:dyDescent="0.25">
      <c r="A759">
        <v>205197.89840000001</v>
      </c>
      <c r="B759">
        <v>221931.58009999999</v>
      </c>
      <c r="C759">
        <v>5992</v>
      </c>
    </row>
    <row r="760" spans="1:3" x14ac:dyDescent="0.25">
      <c r="A760">
        <v>214452.24840000001</v>
      </c>
      <c r="B760">
        <v>231730.23269999999</v>
      </c>
      <c r="C760">
        <v>6265</v>
      </c>
    </row>
    <row r="761" spans="1:3" x14ac:dyDescent="0.25">
      <c r="A761">
        <v>195767.9736</v>
      </c>
      <c r="B761">
        <v>210639.84820000001</v>
      </c>
      <c r="C761">
        <v>5723</v>
      </c>
    </row>
    <row r="762" spans="1:3" x14ac:dyDescent="0.25">
      <c r="A762">
        <v>397984.32929999998</v>
      </c>
      <c r="B762">
        <v>437198.92959999997</v>
      </c>
      <c r="C762">
        <v>11900</v>
      </c>
    </row>
    <row r="763" spans="1:3" x14ac:dyDescent="0.25">
      <c r="A763">
        <v>512603.10350000003</v>
      </c>
      <c r="B763">
        <v>561872.20600000001</v>
      </c>
      <c r="C763">
        <v>15345</v>
      </c>
    </row>
    <row r="764" spans="1:3" x14ac:dyDescent="0.25">
      <c r="A764">
        <v>218104.06690000001</v>
      </c>
      <c r="B764">
        <v>238662.19209999999</v>
      </c>
      <c r="C764">
        <v>6525</v>
      </c>
    </row>
    <row r="765" spans="1:3" x14ac:dyDescent="0.25">
      <c r="A765">
        <v>339004.33689999999</v>
      </c>
      <c r="B765">
        <v>371177.18689999997</v>
      </c>
      <c r="C765">
        <v>10153</v>
      </c>
    </row>
    <row r="766" spans="1:3" x14ac:dyDescent="0.25">
      <c r="A766">
        <v>278116.36930000002</v>
      </c>
      <c r="B766">
        <v>295645.62910000002</v>
      </c>
      <c r="C766">
        <v>8116</v>
      </c>
    </row>
    <row r="767" spans="1:3" x14ac:dyDescent="0.25">
      <c r="A767">
        <v>264159.30060000002</v>
      </c>
      <c r="B767">
        <v>280392.27360000001</v>
      </c>
      <c r="C767">
        <v>7712</v>
      </c>
    </row>
    <row r="768" spans="1:3" x14ac:dyDescent="0.25">
      <c r="A768">
        <v>197778.13370000001</v>
      </c>
      <c r="B768">
        <v>209372.2922</v>
      </c>
      <c r="C768">
        <v>5759</v>
      </c>
    </row>
    <row r="769" spans="1:3" x14ac:dyDescent="0.25">
      <c r="A769">
        <v>325749.00890000002</v>
      </c>
      <c r="B769">
        <v>345287.81150000001</v>
      </c>
      <c r="C769">
        <v>9501</v>
      </c>
    </row>
    <row r="770" spans="1:3" x14ac:dyDescent="0.25">
      <c r="A770">
        <v>371561.97639999999</v>
      </c>
      <c r="B770">
        <v>393884.43300000002</v>
      </c>
      <c r="C770">
        <v>10840</v>
      </c>
    </row>
    <row r="771" spans="1:3" x14ac:dyDescent="0.25">
      <c r="A771">
        <v>174581.67679999999</v>
      </c>
      <c r="B771">
        <v>185040.8173</v>
      </c>
      <c r="C771">
        <v>5089</v>
      </c>
    </row>
    <row r="772" spans="1:3" x14ac:dyDescent="0.25">
      <c r="A772">
        <v>208489.3694</v>
      </c>
      <c r="B772">
        <v>221372.83689999999</v>
      </c>
      <c r="C772">
        <v>6087</v>
      </c>
    </row>
    <row r="773" spans="1:3" x14ac:dyDescent="0.25">
      <c r="A773">
        <v>84495.166670000006</v>
      </c>
      <c r="B773">
        <v>74682.266820000004</v>
      </c>
      <c r="C773">
        <v>2053</v>
      </c>
    </row>
    <row r="774" spans="1:3" x14ac:dyDescent="0.25">
      <c r="A774">
        <v>76661.250029999996</v>
      </c>
      <c r="B774">
        <v>66379.563599999994</v>
      </c>
      <c r="C774">
        <v>1825</v>
      </c>
    </row>
    <row r="775" spans="1:3" x14ac:dyDescent="0.25">
      <c r="A775">
        <v>64034.940459999998</v>
      </c>
      <c r="B775">
        <v>55491.338530000001</v>
      </c>
      <c r="C775">
        <v>1525</v>
      </c>
    </row>
    <row r="776" spans="1:3" x14ac:dyDescent="0.25">
      <c r="A776">
        <v>148839.9749</v>
      </c>
      <c r="B776">
        <v>129583.4921</v>
      </c>
      <c r="C776">
        <v>3542</v>
      </c>
    </row>
    <row r="777" spans="1:3" x14ac:dyDescent="0.25">
      <c r="A777">
        <v>172541.5079</v>
      </c>
      <c r="B777">
        <v>150538.98370000001</v>
      </c>
      <c r="C777">
        <v>4105</v>
      </c>
    </row>
    <row r="778" spans="1:3" x14ac:dyDescent="0.25">
      <c r="A778">
        <v>87991.663</v>
      </c>
      <c r="B778">
        <v>76378.504639999999</v>
      </c>
      <c r="C778">
        <v>2094</v>
      </c>
    </row>
    <row r="779" spans="1:3" x14ac:dyDescent="0.25">
      <c r="A779">
        <v>123445.38159999999</v>
      </c>
      <c r="B779">
        <v>108669.2254</v>
      </c>
      <c r="C779">
        <v>2940</v>
      </c>
    </row>
    <row r="780" spans="1:3" x14ac:dyDescent="0.25">
      <c r="A780">
        <v>77344.691869999995</v>
      </c>
      <c r="B780">
        <v>68269.24884</v>
      </c>
      <c r="C780">
        <v>1841</v>
      </c>
    </row>
    <row r="781" spans="1:3" x14ac:dyDescent="0.25">
      <c r="A781">
        <v>158963.02489999999</v>
      </c>
      <c r="B781">
        <v>167521.52590000001</v>
      </c>
      <c r="C781">
        <v>4529</v>
      </c>
    </row>
    <row r="782" spans="1:3" x14ac:dyDescent="0.25">
      <c r="A782">
        <v>69598.071150000003</v>
      </c>
      <c r="B782">
        <v>61492.968309999997</v>
      </c>
      <c r="C782">
        <v>1658</v>
      </c>
    </row>
    <row r="783" spans="1:3" x14ac:dyDescent="0.25">
      <c r="A783">
        <v>161275.60219999999</v>
      </c>
      <c r="B783">
        <v>143446.35829999999</v>
      </c>
      <c r="C783">
        <v>3841</v>
      </c>
    </row>
    <row r="784" spans="1:3" x14ac:dyDescent="0.25">
      <c r="A784">
        <v>325215.07679999998</v>
      </c>
      <c r="B784">
        <v>345446.00180000003</v>
      </c>
      <c r="C784">
        <v>9260</v>
      </c>
    </row>
    <row r="785" spans="1:3" x14ac:dyDescent="0.25">
      <c r="A785">
        <v>96957.295840000006</v>
      </c>
      <c r="B785">
        <v>86455.494380000004</v>
      </c>
      <c r="C785">
        <v>2308</v>
      </c>
    </row>
    <row r="786" spans="1:3" x14ac:dyDescent="0.25">
      <c r="A786">
        <v>85224.47709</v>
      </c>
      <c r="B786">
        <v>75960.71802</v>
      </c>
      <c r="C786">
        <v>2028</v>
      </c>
    </row>
    <row r="787" spans="1:3" x14ac:dyDescent="0.25">
      <c r="A787">
        <v>54612.878839999998</v>
      </c>
      <c r="B787">
        <v>49071.802539999997</v>
      </c>
      <c r="C787">
        <v>1301</v>
      </c>
    </row>
    <row r="788" spans="1:3" x14ac:dyDescent="0.25">
      <c r="A788">
        <v>81530.612380000006</v>
      </c>
      <c r="B788">
        <v>81738.05644</v>
      </c>
      <c r="C788">
        <v>2213</v>
      </c>
    </row>
    <row r="789" spans="1:3" x14ac:dyDescent="0.25">
      <c r="A789">
        <v>160947.53260000001</v>
      </c>
      <c r="B789">
        <v>162597.49679999999</v>
      </c>
      <c r="C789">
        <v>4404</v>
      </c>
    </row>
    <row r="790" spans="1:3" x14ac:dyDescent="0.25">
      <c r="A790">
        <v>188736.24739999999</v>
      </c>
      <c r="B790">
        <v>183103.23370000001</v>
      </c>
      <c r="C790">
        <v>4935</v>
      </c>
    </row>
    <row r="791" spans="1:3" x14ac:dyDescent="0.25">
      <c r="A791">
        <v>215951.5079</v>
      </c>
      <c r="B791">
        <v>210032.78810000001</v>
      </c>
      <c r="C791">
        <v>5609</v>
      </c>
    </row>
    <row r="792" spans="1:3" x14ac:dyDescent="0.25">
      <c r="A792">
        <v>134995.85449999999</v>
      </c>
      <c r="B792">
        <v>129938.7058</v>
      </c>
      <c r="C792">
        <v>3452</v>
      </c>
    </row>
    <row r="793" spans="1:3" x14ac:dyDescent="0.25">
      <c r="A793">
        <v>163079.378</v>
      </c>
      <c r="B793">
        <v>160332.5894</v>
      </c>
      <c r="C793">
        <v>4270</v>
      </c>
    </row>
    <row r="794" spans="1:3" x14ac:dyDescent="0.25">
      <c r="A794">
        <v>180828.6741</v>
      </c>
      <c r="B794">
        <v>182962.337</v>
      </c>
      <c r="C794">
        <v>4719</v>
      </c>
    </row>
    <row r="795" spans="1:3" x14ac:dyDescent="0.25">
      <c r="A795">
        <v>171196.1752</v>
      </c>
      <c r="B795">
        <v>174428.68090000001</v>
      </c>
      <c r="C795">
        <v>4451</v>
      </c>
    </row>
    <row r="796" spans="1:3" x14ac:dyDescent="0.25">
      <c r="A796">
        <v>129719.0505</v>
      </c>
      <c r="B796">
        <v>131961.9325</v>
      </c>
      <c r="C796">
        <v>3364</v>
      </c>
    </row>
    <row r="797" spans="1:3" x14ac:dyDescent="0.25">
      <c r="A797">
        <v>142127.6421</v>
      </c>
      <c r="B797">
        <v>144039.4137</v>
      </c>
      <c r="C797">
        <v>3665</v>
      </c>
    </row>
    <row r="798" spans="1:3" x14ac:dyDescent="0.25">
      <c r="A798">
        <v>152124.40789999999</v>
      </c>
      <c r="B798">
        <v>153377.51199999999</v>
      </c>
      <c r="C798">
        <v>3889</v>
      </c>
    </row>
    <row r="799" spans="1:3" x14ac:dyDescent="0.25">
      <c r="A799">
        <v>74132.787020000003</v>
      </c>
      <c r="B799">
        <v>74332.279479999997</v>
      </c>
      <c r="C799">
        <v>1882</v>
      </c>
    </row>
    <row r="800" spans="1:3" x14ac:dyDescent="0.25">
      <c r="A800">
        <v>91143.028609999994</v>
      </c>
      <c r="B800">
        <v>95167.528730000005</v>
      </c>
      <c r="C800">
        <v>2405</v>
      </c>
    </row>
    <row r="801" spans="1:3" x14ac:dyDescent="0.25">
      <c r="A801">
        <v>60528.093359999999</v>
      </c>
      <c r="B801">
        <v>62342.881170000001</v>
      </c>
      <c r="C801">
        <v>1577</v>
      </c>
    </row>
    <row r="802" spans="1:3" x14ac:dyDescent="0.25">
      <c r="A802">
        <v>38340.599609999997</v>
      </c>
      <c r="B802">
        <v>35918.335149999999</v>
      </c>
      <c r="C802">
        <v>913</v>
      </c>
    </row>
    <row r="803" spans="1:3" x14ac:dyDescent="0.25">
      <c r="A803">
        <v>37453.006179999997</v>
      </c>
      <c r="B803">
        <v>35108.200109999998</v>
      </c>
      <c r="C803">
        <v>892</v>
      </c>
    </row>
    <row r="804" spans="1:3" x14ac:dyDescent="0.25">
      <c r="A804">
        <v>77997.045010000002</v>
      </c>
      <c r="B804">
        <v>73051.675539999997</v>
      </c>
      <c r="C804">
        <v>1855</v>
      </c>
    </row>
    <row r="805" spans="1:3" x14ac:dyDescent="0.25">
      <c r="A805">
        <v>79752.282680000004</v>
      </c>
      <c r="B805">
        <v>74962.816399999996</v>
      </c>
      <c r="C805">
        <v>1897</v>
      </c>
    </row>
    <row r="806" spans="1:3" x14ac:dyDescent="0.25">
      <c r="A806">
        <v>37155.588479999999</v>
      </c>
      <c r="B806">
        <v>34962.830499999996</v>
      </c>
      <c r="C806">
        <v>883</v>
      </c>
    </row>
    <row r="807" spans="1:3" x14ac:dyDescent="0.25">
      <c r="A807">
        <v>45046.513209999997</v>
      </c>
      <c r="B807">
        <v>42368.04535</v>
      </c>
      <c r="C807">
        <v>1071</v>
      </c>
    </row>
    <row r="808" spans="1:3" x14ac:dyDescent="0.25">
      <c r="A808">
        <v>55489.332759999998</v>
      </c>
      <c r="B808">
        <v>52263.056989999997</v>
      </c>
      <c r="C808">
        <v>1320</v>
      </c>
    </row>
    <row r="809" spans="1:3" x14ac:dyDescent="0.25">
      <c r="A809">
        <v>41893.303160000003</v>
      </c>
      <c r="B809">
        <v>39495.455900000001</v>
      </c>
      <c r="C809">
        <v>997</v>
      </c>
    </row>
    <row r="810" spans="1:3" x14ac:dyDescent="0.25">
      <c r="A810">
        <v>34348.50419</v>
      </c>
      <c r="B810">
        <v>32292.837599999999</v>
      </c>
      <c r="C810">
        <v>817</v>
      </c>
    </row>
    <row r="811" spans="1:3" x14ac:dyDescent="0.25">
      <c r="A811">
        <v>78276.831219999993</v>
      </c>
      <c r="B811">
        <v>73746.758709999995</v>
      </c>
      <c r="C811">
        <v>1866</v>
      </c>
    </row>
    <row r="812" spans="1:3" x14ac:dyDescent="0.25">
      <c r="A812">
        <v>92851.402660000007</v>
      </c>
      <c r="B812">
        <v>87451.566179999994</v>
      </c>
      <c r="C812">
        <v>2211</v>
      </c>
    </row>
    <row r="813" spans="1:3" x14ac:dyDescent="0.25">
      <c r="A813">
        <v>54845.789299999997</v>
      </c>
      <c r="B813">
        <v>51625.511720000002</v>
      </c>
      <c r="C813">
        <v>1304</v>
      </c>
    </row>
    <row r="814" spans="1:3" x14ac:dyDescent="0.25">
      <c r="A814">
        <v>48037.799899999998</v>
      </c>
      <c r="B814">
        <v>45187.641580000003</v>
      </c>
      <c r="C814">
        <v>1143</v>
      </c>
    </row>
    <row r="815" spans="1:3" x14ac:dyDescent="0.25">
      <c r="A815">
        <v>65905.723259999999</v>
      </c>
      <c r="B815">
        <v>62023.881300000001</v>
      </c>
      <c r="C815">
        <v>1573</v>
      </c>
    </row>
    <row r="816" spans="1:3" x14ac:dyDescent="0.25">
      <c r="A816">
        <v>84870.051300000006</v>
      </c>
      <c r="B816">
        <v>81472.827179999993</v>
      </c>
      <c r="C816">
        <v>2065</v>
      </c>
    </row>
    <row r="817" spans="1:3" x14ac:dyDescent="0.25">
      <c r="A817">
        <v>262459.50569999998</v>
      </c>
      <c r="B817">
        <v>259298.4566</v>
      </c>
      <c r="C817">
        <v>6588</v>
      </c>
    </row>
    <row r="818" spans="1:3" x14ac:dyDescent="0.25">
      <c r="A818">
        <v>228124.39799999999</v>
      </c>
      <c r="B818">
        <v>222208.3504</v>
      </c>
      <c r="C818">
        <v>5652</v>
      </c>
    </row>
    <row r="819" spans="1:3" x14ac:dyDescent="0.25">
      <c r="A819">
        <v>162929.4921</v>
      </c>
      <c r="B819">
        <v>161434.81510000001</v>
      </c>
      <c r="C819">
        <v>4103</v>
      </c>
    </row>
    <row r="820" spans="1:3" x14ac:dyDescent="0.25">
      <c r="A820">
        <v>58359.832179999998</v>
      </c>
      <c r="B820">
        <v>57681.569880000003</v>
      </c>
      <c r="C820">
        <v>1466</v>
      </c>
    </row>
    <row r="821" spans="1:3" x14ac:dyDescent="0.25">
      <c r="A821">
        <v>85605.331919999997</v>
      </c>
      <c r="B821">
        <v>85022.380919999996</v>
      </c>
      <c r="C821">
        <v>2162</v>
      </c>
    </row>
    <row r="822" spans="1:3" x14ac:dyDescent="0.25">
      <c r="A822">
        <v>84836.414340000003</v>
      </c>
      <c r="B822">
        <v>84595.217929999999</v>
      </c>
      <c r="C822">
        <v>2155</v>
      </c>
    </row>
    <row r="823" spans="1:3" x14ac:dyDescent="0.25">
      <c r="A823">
        <v>64308.914219999999</v>
      </c>
      <c r="B823">
        <v>68427.594670000006</v>
      </c>
      <c r="C823">
        <v>1746</v>
      </c>
    </row>
    <row r="824" spans="1:3" x14ac:dyDescent="0.25">
      <c r="A824">
        <v>131168.48550000001</v>
      </c>
      <c r="B824">
        <v>138589.10010000001</v>
      </c>
      <c r="C824">
        <v>3554</v>
      </c>
    </row>
    <row r="825" spans="1:3" x14ac:dyDescent="0.25">
      <c r="A825">
        <v>232410.198</v>
      </c>
      <c r="B825">
        <v>245358.63</v>
      </c>
      <c r="C825">
        <v>6282</v>
      </c>
    </row>
    <row r="826" spans="1:3" x14ac:dyDescent="0.25">
      <c r="A826">
        <v>195831.0975</v>
      </c>
      <c r="B826">
        <v>205442.82810000001</v>
      </c>
      <c r="C826">
        <v>5259</v>
      </c>
    </row>
    <row r="827" spans="1:3" x14ac:dyDescent="0.25">
      <c r="A827">
        <v>90716.547890000002</v>
      </c>
      <c r="B827">
        <v>95543.133650000003</v>
      </c>
      <c r="C827">
        <v>2446</v>
      </c>
    </row>
    <row r="828" spans="1:3" x14ac:dyDescent="0.25">
      <c r="A828">
        <v>131638.0196</v>
      </c>
      <c r="B828">
        <v>130700.18889999999</v>
      </c>
      <c r="C828">
        <v>3345</v>
      </c>
    </row>
    <row r="829" spans="1:3" x14ac:dyDescent="0.25">
      <c r="A829">
        <v>81910.872619999995</v>
      </c>
      <c r="B829">
        <v>79969.510550000006</v>
      </c>
      <c r="C829">
        <v>2048</v>
      </c>
    </row>
    <row r="830" spans="1:3" x14ac:dyDescent="0.25">
      <c r="A830">
        <v>54821.908510000001</v>
      </c>
      <c r="B830">
        <v>50800.00851</v>
      </c>
      <c r="C830">
        <v>1303</v>
      </c>
    </row>
    <row r="831" spans="1:3" x14ac:dyDescent="0.25">
      <c r="A831">
        <v>155615.41940000001</v>
      </c>
      <c r="B831">
        <v>171592.12590000001</v>
      </c>
      <c r="C831">
        <v>4413</v>
      </c>
    </row>
    <row r="832" spans="1:3" x14ac:dyDescent="0.25">
      <c r="A832">
        <v>264086.89380000002</v>
      </c>
      <c r="B832">
        <v>291378.57980000001</v>
      </c>
      <c r="C832">
        <v>7494</v>
      </c>
    </row>
    <row r="833" spans="1:3" x14ac:dyDescent="0.25">
      <c r="A833">
        <v>272761.29749999999</v>
      </c>
      <c r="B833">
        <v>298164.41609999997</v>
      </c>
      <c r="C833">
        <v>7738</v>
      </c>
    </row>
    <row r="834" spans="1:3" x14ac:dyDescent="0.25">
      <c r="A834">
        <v>104689.4279</v>
      </c>
      <c r="B834">
        <v>113609.3043</v>
      </c>
      <c r="C834">
        <v>2958</v>
      </c>
    </row>
    <row r="835" spans="1:3" x14ac:dyDescent="0.25">
      <c r="A835">
        <v>131170.5969</v>
      </c>
      <c r="B835">
        <v>142022.8126</v>
      </c>
      <c r="C835">
        <v>3713</v>
      </c>
    </row>
    <row r="836" spans="1:3" x14ac:dyDescent="0.25">
      <c r="A836">
        <v>123179.48940000001</v>
      </c>
      <c r="B836">
        <v>132714.9602</v>
      </c>
      <c r="C836">
        <v>3504</v>
      </c>
    </row>
    <row r="837" spans="1:3" x14ac:dyDescent="0.25">
      <c r="A837">
        <v>124431.04640000001</v>
      </c>
      <c r="B837">
        <v>132889.0569</v>
      </c>
      <c r="C837">
        <v>3534</v>
      </c>
    </row>
    <row r="838" spans="1:3" x14ac:dyDescent="0.25">
      <c r="A838">
        <v>162166.83600000001</v>
      </c>
      <c r="B838">
        <v>172225.65270000001</v>
      </c>
      <c r="C838">
        <v>4601</v>
      </c>
    </row>
    <row r="839" spans="1:3" x14ac:dyDescent="0.25">
      <c r="A839">
        <v>354042.0232</v>
      </c>
      <c r="B839">
        <v>373200.30599999998</v>
      </c>
      <c r="C839">
        <v>10045</v>
      </c>
    </row>
    <row r="840" spans="1:3" x14ac:dyDescent="0.25">
      <c r="A840">
        <v>327352.26140000002</v>
      </c>
      <c r="B840">
        <v>345338.62809999997</v>
      </c>
      <c r="C840">
        <v>9301</v>
      </c>
    </row>
    <row r="841" spans="1:3" x14ac:dyDescent="0.25">
      <c r="A841">
        <v>164809.30300000001</v>
      </c>
      <c r="B841">
        <v>175167.42879999999</v>
      </c>
      <c r="C841">
        <v>4678</v>
      </c>
    </row>
    <row r="842" spans="1:3" x14ac:dyDescent="0.25">
      <c r="A842">
        <v>151157.79430000001</v>
      </c>
      <c r="B842">
        <v>159828.76500000001</v>
      </c>
      <c r="C842">
        <v>4294</v>
      </c>
    </row>
    <row r="843" spans="1:3" x14ac:dyDescent="0.25">
      <c r="A843">
        <v>126895.9365</v>
      </c>
      <c r="B843">
        <v>133726.2806</v>
      </c>
      <c r="C843">
        <v>3606</v>
      </c>
    </row>
    <row r="844" spans="1:3" x14ac:dyDescent="0.25">
      <c r="A844">
        <v>166395.44579999999</v>
      </c>
      <c r="B844">
        <v>179020.54250000001</v>
      </c>
      <c r="C844">
        <v>4838</v>
      </c>
    </row>
    <row r="845" spans="1:3" x14ac:dyDescent="0.25">
      <c r="A845">
        <v>167796.3548</v>
      </c>
      <c r="B845">
        <v>182485.09890000001</v>
      </c>
      <c r="C845">
        <v>4914</v>
      </c>
    </row>
    <row r="846" spans="1:3" x14ac:dyDescent="0.25">
      <c r="A846">
        <v>351146.01699999999</v>
      </c>
      <c r="B846">
        <v>380098.15639999998</v>
      </c>
      <c r="C846">
        <v>10269</v>
      </c>
    </row>
    <row r="847" spans="1:3" x14ac:dyDescent="0.25">
      <c r="A847">
        <v>420738.82179999998</v>
      </c>
      <c r="B847">
        <v>455415.3493</v>
      </c>
      <c r="C847">
        <v>12317</v>
      </c>
    </row>
    <row r="848" spans="1:3" x14ac:dyDescent="0.25">
      <c r="A848">
        <v>186166.1508</v>
      </c>
      <c r="B848">
        <v>202391.17869999999</v>
      </c>
      <c r="C848">
        <v>5453</v>
      </c>
    </row>
    <row r="849" spans="1:3" x14ac:dyDescent="0.25">
      <c r="A849">
        <v>251449.52960000001</v>
      </c>
      <c r="B849">
        <v>273255.09850000002</v>
      </c>
      <c r="C849">
        <v>7372</v>
      </c>
    </row>
    <row r="850" spans="1:3" x14ac:dyDescent="0.25">
      <c r="A850">
        <v>280321.81069999997</v>
      </c>
      <c r="B850">
        <v>302469.83199999999</v>
      </c>
      <c r="C850">
        <v>8211</v>
      </c>
    </row>
    <row r="851" spans="1:3" x14ac:dyDescent="0.25">
      <c r="A851">
        <v>313434.93329999998</v>
      </c>
      <c r="B851">
        <v>337931.11700000003</v>
      </c>
      <c r="C851">
        <v>9182</v>
      </c>
    </row>
    <row r="852" spans="1:3" x14ac:dyDescent="0.25">
      <c r="A852">
        <v>257324.60310000001</v>
      </c>
      <c r="B852">
        <v>276852.17989999999</v>
      </c>
      <c r="C852">
        <v>7520</v>
      </c>
    </row>
    <row r="853" spans="1:3" x14ac:dyDescent="0.25">
      <c r="A853">
        <v>455554.33600000001</v>
      </c>
      <c r="B853">
        <v>489215.0675</v>
      </c>
      <c r="C853">
        <v>13321</v>
      </c>
    </row>
    <row r="854" spans="1:3" x14ac:dyDescent="0.25">
      <c r="A854">
        <v>556865.20330000005</v>
      </c>
      <c r="B854">
        <v>598925.6679</v>
      </c>
      <c r="C854">
        <v>16276</v>
      </c>
    </row>
    <row r="855" spans="1:3" x14ac:dyDescent="0.25">
      <c r="A855">
        <v>354856.04489999998</v>
      </c>
      <c r="B855">
        <v>380511.15919999999</v>
      </c>
      <c r="C855">
        <v>10388</v>
      </c>
    </row>
    <row r="856" spans="1:3" x14ac:dyDescent="0.25">
      <c r="A856">
        <v>283284.58130000002</v>
      </c>
      <c r="B856">
        <v>304997.8518</v>
      </c>
      <c r="C856">
        <v>8298</v>
      </c>
    </row>
    <row r="857" spans="1:3" x14ac:dyDescent="0.25">
      <c r="A857">
        <v>297500.674</v>
      </c>
      <c r="B857">
        <v>319786.35950000002</v>
      </c>
      <c r="C857">
        <v>8717</v>
      </c>
    </row>
    <row r="858" spans="1:3" x14ac:dyDescent="0.25">
      <c r="A858">
        <v>285968.4878</v>
      </c>
      <c r="B858">
        <v>305506.99819999997</v>
      </c>
      <c r="C858">
        <v>8364</v>
      </c>
    </row>
    <row r="859" spans="1:3" x14ac:dyDescent="0.25">
      <c r="A859">
        <v>237946.63269999999</v>
      </c>
      <c r="B859">
        <v>254527.4155</v>
      </c>
      <c r="C859">
        <v>6968</v>
      </c>
    </row>
    <row r="860" spans="1:3" x14ac:dyDescent="0.25">
      <c r="A860">
        <v>340851.50589999999</v>
      </c>
      <c r="B860">
        <v>364361.03289999999</v>
      </c>
      <c r="C860">
        <v>9973</v>
      </c>
    </row>
    <row r="861" spans="1:3" x14ac:dyDescent="0.25">
      <c r="A861">
        <v>388187.60139999999</v>
      </c>
      <c r="B861">
        <v>414644.62349999999</v>
      </c>
      <c r="C861">
        <v>11363</v>
      </c>
    </row>
    <row r="862" spans="1:3" x14ac:dyDescent="0.25">
      <c r="A862">
        <v>139178.9841</v>
      </c>
      <c r="B862">
        <v>148731.09049999999</v>
      </c>
      <c r="C862">
        <v>4074</v>
      </c>
    </row>
    <row r="863" spans="1:3" x14ac:dyDescent="0.25">
      <c r="A863">
        <v>66400.303050000002</v>
      </c>
      <c r="B863">
        <v>57741.73891</v>
      </c>
      <c r="C863">
        <v>1579</v>
      </c>
    </row>
    <row r="864" spans="1:3" x14ac:dyDescent="0.25">
      <c r="A864">
        <v>42723.524460000001</v>
      </c>
      <c r="B864">
        <v>37112.985059999999</v>
      </c>
      <c r="C864">
        <v>1016</v>
      </c>
    </row>
    <row r="865" spans="1:3" x14ac:dyDescent="0.25">
      <c r="A865">
        <v>35014.39948</v>
      </c>
      <c r="B865">
        <v>30393.740119999999</v>
      </c>
      <c r="C865">
        <v>832</v>
      </c>
    </row>
    <row r="866" spans="1:3" x14ac:dyDescent="0.25">
      <c r="A866">
        <v>27210.406630000001</v>
      </c>
      <c r="B866">
        <v>23570.159159999999</v>
      </c>
      <c r="C866">
        <v>647</v>
      </c>
    </row>
    <row r="867" spans="1:3" x14ac:dyDescent="0.25">
      <c r="A867">
        <v>79840.088250000001</v>
      </c>
      <c r="B867">
        <v>69078.714139999996</v>
      </c>
      <c r="C867">
        <v>1898</v>
      </c>
    </row>
    <row r="868" spans="1:3" x14ac:dyDescent="0.25">
      <c r="A868">
        <v>82484.44829</v>
      </c>
      <c r="B868">
        <v>71426.011639999997</v>
      </c>
      <c r="C868">
        <v>1961</v>
      </c>
    </row>
    <row r="869" spans="1:3" x14ac:dyDescent="0.25">
      <c r="A869">
        <v>51497.23734</v>
      </c>
      <c r="B869">
        <v>44611.939680000003</v>
      </c>
      <c r="C869">
        <v>1224</v>
      </c>
    </row>
    <row r="870" spans="1:3" x14ac:dyDescent="0.25">
      <c r="A870">
        <v>42871.832869999998</v>
      </c>
      <c r="B870">
        <v>37139.308259999998</v>
      </c>
      <c r="C870">
        <v>1019</v>
      </c>
    </row>
    <row r="871" spans="1:3" x14ac:dyDescent="0.25">
      <c r="A871">
        <v>39104.6391</v>
      </c>
      <c r="B871">
        <v>33890.360430000001</v>
      </c>
      <c r="C871">
        <v>930</v>
      </c>
    </row>
    <row r="872" spans="1:3" x14ac:dyDescent="0.25">
      <c r="A872">
        <v>34406.750010000003</v>
      </c>
      <c r="B872">
        <v>29884.330590000001</v>
      </c>
      <c r="C872">
        <v>818</v>
      </c>
    </row>
    <row r="873" spans="1:3" x14ac:dyDescent="0.25">
      <c r="A873">
        <v>39403.658560000003</v>
      </c>
      <c r="B873">
        <v>34229.63192</v>
      </c>
      <c r="C873">
        <v>937</v>
      </c>
    </row>
    <row r="874" spans="1:3" x14ac:dyDescent="0.25">
      <c r="A874">
        <v>96830.902419999999</v>
      </c>
      <c r="B874">
        <v>83926.003500000006</v>
      </c>
      <c r="C874">
        <v>2302</v>
      </c>
    </row>
    <row r="875" spans="1:3" x14ac:dyDescent="0.25">
      <c r="A875">
        <v>99380.3946</v>
      </c>
      <c r="B875">
        <v>86179.513389999993</v>
      </c>
      <c r="C875">
        <v>2363</v>
      </c>
    </row>
    <row r="876" spans="1:3" x14ac:dyDescent="0.25">
      <c r="A876">
        <v>61656.181329999999</v>
      </c>
      <c r="B876">
        <v>53463.734559999997</v>
      </c>
      <c r="C876">
        <v>1466</v>
      </c>
    </row>
    <row r="877" spans="1:3" x14ac:dyDescent="0.25">
      <c r="A877">
        <v>69163.557369999995</v>
      </c>
      <c r="B877">
        <v>59948.438710000002</v>
      </c>
      <c r="C877">
        <v>1644</v>
      </c>
    </row>
    <row r="878" spans="1:3" x14ac:dyDescent="0.25">
      <c r="A878">
        <v>113112.86500000001</v>
      </c>
      <c r="B878">
        <v>117414.6989</v>
      </c>
      <c r="C878">
        <v>3224</v>
      </c>
    </row>
    <row r="879" spans="1:3" x14ac:dyDescent="0.25">
      <c r="A879">
        <v>253686.30249999999</v>
      </c>
      <c r="B879">
        <v>268974.57069999998</v>
      </c>
      <c r="C879">
        <v>7392</v>
      </c>
    </row>
    <row r="880" spans="1:3" x14ac:dyDescent="0.25">
      <c r="A880">
        <v>210305.29190000001</v>
      </c>
      <c r="B880">
        <v>223289.0846</v>
      </c>
      <c r="C880">
        <v>6138</v>
      </c>
    </row>
    <row r="881" spans="1:3" x14ac:dyDescent="0.25">
      <c r="A881">
        <v>364087.42430000001</v>
      </c>
      <c r="B881">
        <v>386499.89640000003</v>
      </c>
      <c r="C881">
        <v>10624</v>
      </c>
    </row>
    <row r="882" spans="1:3" x14ac:dyDescent="0.25">
      <c r="A882">
        <v>397480.36949999997</v>
      </c>
      <c r="B882">
        <v>421674.10190000001</v>
      </c>
      <c r="C882">
        <v>11590</v>
      </c>
    </row>
    <row r="883" spans="1:3" x14ac:dyDescent="0.25">
      <c r="A883">
        <v>204028.17679999999</v>
      </c>
      <c r="B883">
        <v>216777.31570000001</v>
      </c>
      <c r="C883">
        <v>5959</v>
      </c>
    </row>
    <row r="884" spans="1:3" x14ac:dyDescent="0.25">
      <c r="A884">
        <v>172797.9351</v>
      </c>
      <c r="B884">
        <v>183715.80720000001</v>
      </c>
      <c r="C884">
        <v>5048</v>
      </c>
    </row>
    <row r="885" spans="1:3" x14ac:dyDescent="0.25">
      <c r="A885">
        <v>258970.65410000001</v>
      </c>
      <c r="B885">
        <v>274386.01539999997</v>
      </c>
      <c r="C885">
        <v>7542</v>
      </c>
    </row>
    <row r="886" spans="1:3" x14ac:dyDescent="0.25">
      <c r="A886">
        <v>368789.57260000001</v>
      </c>
      <c r="B886">
        <v>391923.65960000001</v>
      </c>
      <c r="C886">
        <v>10761</v>
      </c>
    </row>
    <row r="887" spans="1:3" x14ac:dyDescent="0.25">
      <c r="A887">
        <v>278071.38660000003</v>
      </c>
      <c r="B887">
        <v>295548.24160000001</v>
      </c>
      <c r="C887">
        <v>8120</v>
      </c>
    </row>
    <row r="888" spans="1:3" x14ac:dyDescent="0.25">
      <c r="A888">
        <v>373959.36200000002</v>
      </c>
      <c r="B888">
        <v>396324.17869999999</v>
      </c>
      <c r="C888">
        <v>10896</v>
      </c>
    </row>
    <row r="889" spans="1:3" x14ac:dyDescent="0.25">
      <c r="A889">
        <v>402057.25290000002</v>
      </c>
      <c r="B889">
        <v>426466.13219999999</v>
      </c>
      <c r="C889">
        <v>11726</v>
      </c>
    </row>
    <row r="890" spans="1:3" x14ac:dyDescent="0.25">
      <c r="A890">
        <v>205719.45319999999</v>
      </c>
      <c r="B890">
        <v>218408.18210000001</v>
      </c>
      <c r="C890">
        <v>6007</v>
      </c>
    </row>
    <row r="891" spans="1:3" x14ac:dyDescent="0.25">
      <c r="A891">
        <v>177626.95009999999</v>
      </c>
      <c r="B891">
        <v>188629.7542</v>
      </c>
      <c r="C891">
        <v>5185</v>
      </c>
    </row>
    <row r="892" spans="1:3" x14ac:dyDescent="0.25">
      <c r="A892">
        <v>70441.90741</v>
      </c>
      <c r="B892">
        <v>60910.748399999997</v>
      </c>
      <c r="C892">
        <v>1675</v>
      </c>
    </row>
    <row r="893" spans="1:3" x14ac:dyDescent="0.25">
      <c r="A893">
        <v>162923.84959999999</v>
      </c>
      <c r="B893">
        <v>173292.68109999999</v>
      </c>
      <c r="C893">
        <v>4765</v>
      </c>
    </row>
    <row r="894" spans="1:3" x14ac:dyDescent="0.25">
      <c r="A894">
        <v>138752.5276</v>
      </c>
      <c r="B894">
        <v>143791.47810000001</v>
      </c>
      <c r="C894">
        <v>3953</v>
      </c>
    </row>
    <row r="895" spans="1:3" x14ac:dyDescent="0.25">
      <c r="A895">
        <v>252458.2622</v>
      </c>
      <c r="B895">
        <v>261502.3818</v>
      </c>
      <c r="C895">
        <v>7190</v>
      </c>
    </row>
    <row r="896" spans="1:3" x14ac:dyDescent="0.25">
      <c r="A896">
        <v>293917.85249999998</v>
      </c>
      <c r="B896">
        <v>311853.52049999998</v>
      </c>
      <c r="C896">
        <v>8577</v>
      </c>
    </row>
    <row r="897" spans="1:3" x14ac:dyDescent="0.25">
      <c r="A897">
        <v>138350.12179999999</v>
      </c>
      <c r="B897">
        <v>143346.6746</v>
      </c>
      <c r="C897">
        <v>3943</v>
      </c>
    </row>
    <row r="898" spans="1:3" x14ac:dyDescent="0.25">
      <c r="A898">
        <v>130067.27559999999</v>
      </c>
      <c r="B898">
        <v>134950.56649999999</v>
      </c>
      <c r="C898">
        <v>3707</v>
      </c>
    </row>
    <row r="899" spans="1:3" x14ac:dyDescent="0.25">
      <c r="A899">
        <v>107168.6611</v>
      </c>
      <c r="B899">
        <v>111173.15850000001</v>
      </c>
      <c r="C899">
        <v>3054</v>
      </c>
    </row>
    <row r="900" spans="1:3" x14ac:dyDescent="0.25">
      <c r="A900">
        <v>224030.55439999999</v>
      </c>
      <c r="B900">
        <v>237934.73420000001</v>
      </c>
      <c r="C900">
        <v>6541</v>
      </c>
    </row>
    <row r="901" spans="1:3" x14ac:dyDescent="0.25">
      <c r="A901">
        <v>201918.22210000001</v>
      </c>
      <c r="B901">
        <v>209095.56969999999</v>
      </c>
      <c r="C901">
        <v>5749</v>
      </c>
    </row>
    <row r="902" spans="1:3" x14ac:dyDescent="0.25">
      <c r="A902">
        <v>329344.2683</v>
      </c>
      <c r="B902">
        <v>341253.3296</v>
      </c>
      <c r="C902">
        <v>9385</v>
      </c>
    </row>
    <row r="903" spans="1:3" x14ac:dyDescent="0.25">
      <c r="A903">
        <v>308642.97720000002</v>
      </c>
      <c r="B903">
        <v>327672.04149999999</v>
      </c>
      <c r="C903">
        <v>9012</v>
      </c>
    </row>
    <row r="904" spans="1:3" x14ac:dyDescent="0.25">
      <c r="A904">
        <v>134472.40659999999</v>
      </c>
      <c r="B904">
        <v>139385.8762</v>
      </c>
      <c r="C904">
        <v>3831</v>
      </c>
    </row>
    <row r="905" spans="1:3" x14ac:dyDescent="0.25">
      <c r="A905">
        <v>143809.7206</v>
      </c>
      <c r="B905">
        <v>148953.91089999999</v>
      </c>
      <c r="C905">
        <v>4097</v>
      </c>
    </row>
    <row r="906" spans="1:3" x14ac:dyDescent="0.25">
      <c r="A906">
        <v>123252.1511</v>
      </c>
      <c r="B906">
        <v>127533.00930000001</v>
      </c>
      <c r="C906">
        <v>3509</v>
      </c>
    </row>
    <row r="907" spans="1:3" x14ac:dyDescent="0.25">
      <c r="A907">
        <v>40067.151210000004</v>
      </c>
      <c r="B907">
        <v>34559.084519999997</v>
      </c>
      <c r="C907">
        <v>953</v>
      </c>
    </row>
    <row r="908" spans="1:3" x14ac:dyDescent="0.25">
      <c r="A908">
        <v>143752.73680000001</v>
      </c>
      <c r="B908">
        <v>155659.5337</v>
      </c>
      <c r="C908">
        <v>4305</v>
      </c>
    </row>
    <row r="909" spans="1:3" x14ac:dyDescent="0.25">
      <c r="A909">
        <v>389904.0086</v>
      </c>
      <c r="B909">
        <v>422372.58159999998</v>
      </c>
      <c r="C909">
        <v>11667</v>
      </c>
    </row>
    <row r="910" spans="1:3" x14ac:dyDescent="0.25">
      <c r="A910">
        <v>461280.7856</v>
      </c>
      <c r="B910">
        <v>498910.32900000003</v>
      </c>
      <c r="C910">
        <v>13793</v>
      </c>
    </row>
    <row r="911" spans="1:3" x14ac:dyDescent="0.25">
      <c r="A911">
        <v>221578.69680000001</v>
      </c>
      <c r="B911">
        <v>240449.62229999999</v>
      </c>
      <c r="C911">
        <v>6641</v>
      </c>
    </row>
    <row r="912" spans="1:3" x14ac:dyDescent="0.25">
      <c r="A912">
        <v>253702.223</v>
      </c>
      <c r="B912">
        <v>274426.08029999997</v>
      </c>
      <c r="C912">
        <v>7593</v>
      </c>
    </row>
    <row r="913" spans="1:3" x14ac:dyDescent="0.25">
      <c r="A913">
        <v>200616.07620000001</v>
      </c>
      <c r="B913">
        <v>217104.5797</v>
      </c>
      <c r="C913">
        <v>6007</v>
      </c>
    </row>
    <row r="914" spans="1:3" x14ac:dyDescent="0.25">
      <c r="A914">
        <v>211700.8132</v>
      </c>
      <c r="B914">
        <v>229023.8107</v>
      </c>
      <c r="C914">
        <v>6345</v>
      </c>
    </row>
    <row r="915" spans="1:3" x14ac:dyDescent="0.25">
      <c r="A915">
        <v>282757.71139999997</v>
      </c>
      <c r="B915">
        <v>305894.1801</v>
      </c>
      <c r="C915">
        <v>8482</v>
      </c>
    </row>
    <row r="916" spans="1:3" x14ac:dyDescent="0.25">
      <c r="A916">
        <v>479010.15669999999</v>
      </c>
      <c r="B916">
        <v>517742.19260000001</v>
      </c>
      <c r="C916">
        <v>14344</v>
      </c>
    </row>
    <row r="917" spans="1:3" x14ac:dyDescent="0.25">
      <c r="A917">
        <v>454543.28580000001</v>
      </c>
      <c r="B917">
        <v>490487.0246</v>
      </c>
      <c r="C917">
        <v>13609</v>
      </c>
    </row>
    <row r="918" spans="1:3" x14ac:dyDescent="0.25">
      <c r="A918">
        <v>242185.1807</v>
      </c>
      <c r="B918">
        <v>261534.91200000001</v>
      </c>
      <c r="C918">
        <v>7259</v>
      </c>
    </row>
    <row r="919" spans="1:3" x14ac:dyDescent="0.25">
      <c r="A919">
        <v>281531.68560000003</v>
      </c>
      <c r="B919">
        <v>304052.47700000001</v>
      </c>
      <c r="C919">
        <v>8431</v>
      </c>
    </row>
    <row r="920" spans="1:3" x14ac:dyDescent="0.25">
      <c r="A920">
        <v>219363.22010000001</v>
      </c>
      <c r="B920">
        <v>237026.3505</v>
      </c>
      <c r="C920">
        <v>6577</v>
      </c>
    </row>
    <row r="921" spans="1:3" x14ac:dyDescent="0.25">
      <c r="A921">
        <v>204005.5822</v>
      </c>
      <c r="B921">
        <v>219722.89499999999</v>
      </c>
      <c r="C921">
        <v>6098</v>
      </c>
    </row>
    <row r="922" spans="1:3" x14ac:dyDescent="0.25">
      <c r="A922">
        <v>69579.068459999995</v>
      </c>
      <c r="B922">
        <v>59598.917800000003</v>
      </c>
      <c r="C922">
        <v>1654</v>
      </c>
    </row>
    <row r="923" spans="1:3" x14ac:dyDescent="0.25">
      <c r="A923">
        <v>87184.740030000001</v>
      </c>
      <c r="B923">
        <v>74654.520420000001</v>
      </c>
      <c r="C923">
        <v>2073</v>
      </c>
    </row>
    <row r="924" spans="1:3" x14ac:dyDescent="0.25">
      <c r="A924">
        <v>78700.436050000004</v>
      </c>
      <c r="B924">
        <v>67367.383239999996</v>
      </c>
      <c r="C924">
        <v>1871</v>
      </c>
    </row>
    <row r="925" spans="1:3" x14ac:dyDescent="0.25">
      <c r="A925">
        <v>39809.559090000002</v>
      </c>
      <c r="B925">
        <v>34091.569660000001</v>
      </c>
      <c r="C925">
        <v>946</v>
      </c>
    </row>
    <row r="926" spans="1:3" x14ac:dyDescent="0.25">
      <c r="A926">
        <v>45839.238770000004</v>
      </c>
      <c r="B926">
        <v>39231.195370000001</v>
      </c>
      <c r="C926">
        <v>1090</v>
      </c>
    </row>
    <row r="927" spans="1:3" x14ac:dyDescent="0.25">
      <c r="A927">
        <v>36851.763749999998</v>
      </c>
      <c r="B927">
        <v>31574.32547</v>
      </c>
      <c r="C927">
        <v>876</v>
      </c>
    </row>
    <row r="928" spans="1:3" x14ac:dyDescent="0.25">
      <c r="A928">
        <v>33225.670469999997</v>
      </c>
      <c r="B928">
        <v>28489.081399999999</v>
      </c>
      <c r="C928">
        <v>790</v>
      </c>
    </row>
    <row r="929" spans="1:3" x14ac:dyDescent="0.25">
      <c r="A929">
        <v>30423.391459999999</v>
      </c>
      <c r="B929">
        <v>26053.796719999998</v>
      </c>
      <c r="C929">
        <v>723</v>
      </c>
    </row>
    <row r="930" spans="1:3" x14ac:dyDescent="0.25">
      <c r="A930">
        <v>80345.637659999993</v>
      </c>
      <c r="B930">
        <v>68788.094540000006</v>
      </c>
      <c r="C930">
        <v>1910</v>
      </c>
    </row>
    <row r="931" spans="1:3" x14ac:dyDescent="0.25">
      <c r="A931">
        <v>95297.338629999998</v>
      </c>
      <c r="B931">
        <v>81655.857730000003</v>
      </c>
      <c r="C931">
        <v>2266</v>
      </c>
    </row>
    <row r="932" spans="1:3" x14ac:dyDescent="0.25">
      <c r="A932">
        <v>45324.054530000001</v>
      </c>
      <c r="B932">
        <v>38809.808900000004</v>
      </c>
      <c r="C932">
        <v>1078</v>
      </c>
    </row>
    <row r="933" spans="1:3" x14ac:dyDescent="0.25">
      <c r="A933">
        <v>51604.118410000003</v>
      </c>
      <c r="B933">
        <v>44222.784480000002</v>
      </c>
      <c r="C933">
        <v>1227</v>
      </c>
    </row>
    <row r="934" spans="1:3" x14ac:dyDescent="0.25">
      <c r="A934">
        <v>37870.119030000002</v>
      </c>
      <c r="B934">
        <v>32436.795969999999</v>
      </c>
      <c r="C934">
        <v>900</v>
      </c>
    </row>
    <row r="935" spans="1:3" x14ac:dyDescent="0.25">
      <c r="A935">
        <v>42723.524460000001</v>
      </c>
      <c r="B935">
        <v>36607.390659999997</v>
      </c>
      <c r="C935">
        <v>1016</v>
      </c>
    </row>
    <row r="936" spans="1:3" x14ac:dyDescent="0.25">
      <c r="A936">
        <v>35169.915809999999</v>
      </c>
      <c r="B936">
        <v>30133.318640000001</v>
      </c>
      <c r="C936">
        <v>836</v>
      </c>
    </row>
    <row r="937" spans="1:3" x14ac:dyDescent="0.25">
      <c r="A937">
        <v>61148.205009999998</v>
      </c>
      <c r="B937">
        <v>52384.447480000003</v>
      </c>
      <c r="C937">
        <v>1454</v>
      </c>
    </row>
    <row r="938" spans="1:3" x14ac:dyDescent="0.25">
      <c r="A938">
        <v>77171.701799999995</v>
      </c>
      <c r="B938">
        <v>66113.832039999994</v>
      </c>
      <c r="C938">
        <v>1835</v>
      </c>
    </row>
    <row r="939" spans="1:3" x14ac:dyDescent="0.25">
      <c r="A939">
        <v>40881.354910000002</v>
      </c>
      <c r="B939">
        <v>35019.112639999999</v>
      </c>
      <c r="C939">
        <v>972</v>
      </c>
    </row>
    <row r="940" spans="1:3" x14ac:dyDescent="0.25">
      <c r="A940">
        <v>43085.595009999997</v>
      </c>
      <c r="B940">
        <v>36887.366170000001</v>
      </c>
      <c r="C940">
        <v>1024</v>
      </c>
    </row>
    <row r="941" spans="1:3" x14ac:dyDescent="0.25">
      <c r="A941">
        <v>43894.993430000002</v>
      </c>
      <c r="B941">
        <v>37604.65842</v>
      </c>
      <c r="C941">
        <v>1044</v>
      </c>
    </row>
    <row r="942" spans="1:3" x14ac:dyDescent="0.25">
      <c r="A942">
        <v>67780.728889999999</v>
      </c>
      <c r="B942">
        <v>58196.145989999997</v>
      </c>
      <c r="C942">
        <v>1611</v>
      </c>
    </row>
    <row r="943" spans="1:3" x14ac:dyDescent="0.25">
      <c r="A943">
        <v>51907.943149999999</v>
      </c>
      <c r="B943">
        <v>44544.630740000001</v>
      </c>
      <c r="C943">
        <v>1234</v>
      </c>
    </row>
    <row r="944" spans="1:3" x14ac:dyDescent="0.25">
      <c r="A944">
        <v>93508.633889999997</v>
      </c>
      <c r="B944">
        <v>80346.694130000003</v>
      </c>
      <c r="C944">
        <v>2223</v>
      </c>
    </row>
    <row r="945" spans="1:3" x14ac:dyDescent="0.25">
      <c r="A945">
        <v>95343.595509999999</v>
      </c>
      <c r="B945">
        <v>81874.288860000001</v>
      </c>
      <c r="C945">
        <v>2267</v>
      </c>
    </row>
    <row r="946" spans="1:3" x14ac:dyDescent="0.25">
      <c r="A946">
        <v>59514.992330000001</v>
      </c>
      <c r="B946">
        <v>51145.403339999997</v>
      </c>
      <c r="C946">
        <v>1415</v>
      </c>
    </row>
    <row r="947" spans="1:3" x14ac:dyDescent="0.25">
      <c r="A947">
        <v>65133.966200000003</v>
      </c>
      <c r="B947">
        <v>55946.056559999997</v>
      </c>
      <c r="C947">
        <v>1548</v>
      </c>
    </row>
    <row r="948" spans="1:3" x14ac:dyDescent="0.25">
      <c r="A948">
        <v>70641.253719999993</v>
      </c>
      <c r="B948">
        <v>60629.553</v>
      </c>
      <c r="C948">
        <v>1679</v>
      </c>
    </row>
    <row r="949" spans="1:3" x14ac:dyDescent="0.25">
      <c r="A949">
        <v>48442.171479999997</v>
      </c>
      <c r="B949">
        <v>41610.783940000001</v>
      </c>
      <c r="C949">
        <v>1152</v>
      </c>
    </row>
    <row r="950" spans="1:3" x14ac:dyDescent="0.25">
      <c r="A950">
        <v>46291.371919999998</v>
      </c>
      <c r="B950">
        <v>39783.360670000002</v>
      </c>
      <c r="C950">
        <v>1101</v>
      </c>
    </row>
    <row r="951" spans="1:3" x14ac:dyDescent="0.25">
      <c r="A951">
        <v>73453.143290000007</v>
      </c>
      <c r="B951">
        <v>63386.492590000002</v>
      </c>
      <c r="C951">
        <v>1746</v>
      </c>
    </row>
    <row r="952" spans="1:3" x14ac:dyDescent="0.25">
      <c r="A952">
        <v>71508.897949999999</v>
      </c>
      <c r="B952">
        <v>61500.574650000002</v>
      </c>
      <c r="C952">
        <v>1700</v>
      </c>
    </row>
    <row r="953" spans="1:3" x14ac:dyDescent="0.25">
      <c r="A953">
        <v>30066.126179999999</v>
      </c>
      <c r="B953">
        <v>25872.48835</v>
      </c>
      <c r="C953">
        <v>715</v>
      </c>
    </row>
    <row r="954" spans="1:3" x14ac:dyDescent="0.25">
      <c r="A954">
        <v>37726.615899999997</v>
      </c>
      <c r="B954">
        <v>32490.136020000002</v>
      </c>
      <c r="C954">
        <v>897</v>
      </c>
    </row>
    <row r="955" spans="1:3" x14ac:dyDescent="0.25">
      <c r="A955">
        <v>30831.694630000002</v>
      </c>
      <c r="B955">
        <v>26577.079450000001</v>
      </c>
      <c r="C955">
        <v>733</v>
      </c>
    </row>
    <row r="956" spans="1:3" x14ac:dyDescent="0.25">
      <c r="A956">
        <v>146811.45509999999</v>
      </c>
      <c r="B956">
        <v>155135.62909999999</v>
      </c>
      <c r="C956">
        <v>4282</v>
      </c>
    </row>
    <row r="957" spans="1:3" x14ac:dyDescent="0.25">
      <c r="A957">
        <v>99867.329620000004</v>
      </c>
      <c r="B957">
        <v>103826.70140000001</v>
      </c>
      <c r="C957">
        <v>2867</v>
      </c>
    </row>
    <row r="958" spans="1:3" x14ac:dyDescent="0.25">
      <c r="A958">
        <v>210664.8628</v>
      </c>
      <c r="B958">
        <v>220379.27669999999</v>
      </c>
      <c r="C958">
        <v>6082</v>
      </c>
    </row>
    <row r="959" spans="1:3" x14ac:dyDescent="0.25">
      <c r="A959">
        <v>266271.03909999999</v>
      </c>
      <c r="B959">
        <v>281658.41830000002</v>
      </c>
      <c r="C959">
        <v>7771</v>
      </c>
    </row>
    <row r="960" spans="1:3" x14ac:dyDescent="0.25">
      <c r="A960">
        <v>123084.03909999999</v>
      </c>
      <c r="B960">
        <v>129601.5272</v>
      </c>
      <c r="C960">
        <v>3576</v>
      </c>
    </row>
    <row r="961" spans="1:3" x14ac:dyDescent="0.25">
      <c r="A961">
        <v>162727.52480000001</v>
      </c>
      <c r="B961">
        <v>168580.17060000001</v>
      </c>
      <c r="C961">
        <v>4649</v>
      </c>
    </row>
    <row r="962" spans="1:3" x14ac:dyDescent="0.25">
      <c r="A962">
        <v>114708.946</v>
      </c>
      <c r="B962">
        <v>119758.06170000001</v>
      </c>
      <c r="C962">
        <v>3302</v>
      </c>
    </row>
    <row r="963" spans="1:3" x14ac:dyDescent="0.25">
      <c r="A963">
        <v>122318.9075</v>
      </c>
      <c r="B963">
        <v>128298.3435</v>
      </c>
      <c r="C963">
        <v>3536</v>
      </c>
    </row>
    <row r="964" spans="1:3" x14ac:dyDescent="0.25">
      <c r="A964">
        <v>112010.34450000001</v>
      </c>
      <c r="B964">
        <v>117374.19160000001</v>
      </c>
      <c r="C964">
        <v>3236</v>
      </c>
    </row>
    <row r="965" spans="1:3" x14ac:dyDescent="0.25">
      <c r="A965">
        <v>229861.47029999999</v>
      </c>
      <c r="B965">
        <v>241090.1336</v>
      </c>
      <c r="C965">
        <v>6646</v>
      </c>
    </row>
    <row r="966" spans="1:3" x14ac:dyDescent="0.25">
      <c r="A966">
        <v>249981.24969999999</v>
      </c>
      <c r="B966">
        <v>262145.17729999998</v>
      </c>
      <c r="C966">
        <v>7220</v>
      </c>
    </row>
    <row r="967" spans="1:3" x14ac:dyDescent="0.25">
      <c r="A967">
        <v>136480.24909999999</v>
      </c>
      <c r="B967">
        <v>143734.22719999999</v>
      </c>
      <c r="C967">
        <v>3958</v>
      </c>
    </row>
    <row r="968" spans="1:3" x14ac:dyDescent="0.25">
      <c r="A968">
        <v>127369.8026</v>
      </c>
      <c r="B968">
        <v>133350.16140000001</v>
      </c>
      <c r="C968">
        <v>3672</v>
      </c>
    </row>
    <row r="969" spans="1:3" x14ac:dyDescent="0.25">
      <c r="A969">
        <v>43537.728159999999</v>
      </c>
      <c r="B969">
        <v>37649.38753</v>
      </c>
      <c r="C969">
        <v>1035</v>
      </c>
    </row>
    <row r="970" spans="1:3" x14ac:dyDescent="0.25">
      <c r="A970">
        <v>120407.4133</v>
      </c>
      <c r="B970">
        <v>127699.41590000001</v>
      </c>
      <c r="C970">
        <v>3549</v>
      </c>
    </row>
    <row r="971" spans="1:3" x14ac:dyDescent="0.25">
      <c r="A971">
        <v>226375.54310000001</v>
      </c>
      <c r="B971">
        <v>240429.68549999999</v>
      </c>
      <c r="C971">
        <v>6647</v>
      </c>
    </row>
    <row r="972" spans="1:3" x14ac:dyDescent="0.25">
      <c r="A972">
        <v>337900.17820000002</v>
      </c>
      <c r="B972">
        <v>358772.25040000002</v>
      </c>
      <c r="C972">
        <v>9908</v>
      </c>
    </row>
    <row r="973" spans="1:3" x14ac:dyDescent="0.25">
      <c r="A973">
        <v>355069.54009999998</v>
      </c>
      <c r="B973">
        <v>376755.56449999998</v>
      </c>
      <c r="C973">
        <v>10393</v>
      </c>
    </row>
    <row r="974" spans="1:3" x14ac:dyDescent="0.25">
      <c r="A974">
        <v>153893.68520000001</v>
      </c>
      <c r="B974">
        <v>163401.32920000001</v>
      </c>
      <c r="C974">
        <v>4507</v>
      </c>
    </row>
    <row r="975" spans="1:3" x14ac:dyDescent="0.25">
      <c r="A975">
        <v>159625.7409</v>
      </c>
      <c r="B975">
        <v>169479.1061</v>
      </c>
      <c r="C975">
        <v>4672</v>
      </c>
    </row>
    <row r="976" spans="1:3" x14ac:dyDescent="0.25">
      <c r="A976">
        <v>133961.967</v>
      </c>
      <c r="B976">
        <v>142299.9178</v>
      </c>
      <c r="C976">
        <v>3924</v>
      </c>
    </row>
    <row r="977" spans="1:3" x14ac:dyDescent="0.25">
      <c r="A977">
        <v>236305.15640000001</v>
      </c>
      <c r="B977">
        <v>250572.4534</v>
      </c>
      <c r="C977">
        <v>6918</v>
      </c>
    </row>
    <row r="978" spans="1:3" x14ac:dyDescent="0.25">
      <c r="A978">
        <v>313491.73509999999</v>
      </c>
      <c r="B978">
        <v>333030.87569999998</v>
      </c>
      <c r="C978">
        <v>9183</v>
      </c>
    </row>
    <row r="979" spans="1:3" x14ac:dyDescent="0.25">
      <c r="A979">
        <v>370355.00170000002</v>
      </c>
      <c r="B979">
        <v>392493.08270000003</v>
      </c>
      <c r="C979">
        <v>10830</v>
      </c>
    </row>
    <row r="980" spans="1:3" x14ac:dyDescent="0.25">
      <c r="A980">
        <v>369091.05540000001</v>
      </c>
      <c r="B980">
        <v>391842.50140000001</v>
      </c>
      <c r="C980">
        <v>10800</v>
      </c>
    </row>
    <row r="981" spans="1:3" x14ac:dyDescent="0.25">
      <c r="A981">
        <v>209026.0197</v>
      </c>
      <c r="B981">
        <v>222163.72889999999</v>
      </c>
      <c r="C981">
        <v>6119</v>
      </c>
    </row>
    <row r="982" spans="1:3" x14ac:dyDescent="0.25">
      <c r="A982">
        <v>228177.3168</v>
      </c>
      <c r="B982">
        <v>242589.58720000001</v>
      </c>
      <c r="C982">
        <v>6685</v>
      </c>
    </row>
    <row r="983" spans="1:3" x14ac:dyDescent="0.25">
      <c r="A983">
        <v>154494.78200000001</v>
      </c>
      <c r="B983">
        <v>164108.82639999999</v>
      </c>
      <c r="C983">
        <v>4519</v>
      </c>
    </row>
    <row r="984" spans="1:3" x14ac:dyDescent="0.25">
      <c r="A984">
        <v>50736.474170000001</v>
      </c>
      <c r="B984">
        <v>43830.19685</v>
      </c>
      <c r="C984">
        <v>1206</v>
      </c>
    </row>
    <row r="985" spans="1:3" x14ac:dyDescent="0.25">
      <c r="A985">
        <v>43292.149239999999</v>
      </c>
      <c r="B985">
        <v>37391.680890000003</v>
      </c>
      <c r="C985">
        <v>1029</v>
      </c>
    </row>
    <row r="986" spans="1:3" x14ac:dyDescent="0.25">
      <c r="A986">
        <v>77335.918600000005</v>
      </c>
      <c r="B986">
        <v>69612.126699999993</v>
      </c>
      <c r="C986">
        <v>1917</v>
      </c>
    </row>
    <row r="987" spans="1:3" x14ac:dyDescent="0.25">
      <c r="A987">
        <v>85070.234890000007</v>
      </c>
      <c r="B987">
        <v>76591.852920000005</v>
      </c>
      <c r="C987">
        <v>2108</v>
      </c>
    </row>
    <row r="988" spans="1:3" x14ac:dyDescent="0.25">
      <c r="A988">
        <v>48831.666109999998</v>
      </c>
      <c r="B988">
        <v>44014.232020000003</v>
      </c>
      <c r="C988">
        <v>1211</v>
      </c>
    </row>
    <row r="989" spans="1:3" x14ac:dyDescent="0.25">
      <c r="A989">
        <v>52075.157180000002</v>
      </c>
      <c r="B989">
        <v>46884.142509999998</v>
      </c>
      <c r="C989">
        <v>1291</v>
      </c>
    </row>
    <row r="990" spans="1:3" x14ac:dyDescent="0.25">
      <c r="A990">
        <v>30424.726259999999</v>
      </c>
      <c r="B990">
        <v>27398.58813</v>
      </c>
      <c r="C990">
        <v>755</v>
      </c>
    </row>
    <row r="991" spans="1:3" x14ac:dyDescent="0.25">
      <c r="A991">
        <v>20495.11303</v>
      </c>
      <c r="B991">
        <v>18375.052609999999</v>
      </c>
      <c r="C991">
        <v>508</v>
      </c>
    </row>
    <row r="992" spans="1:3" x14ac:dyDescent="0.25">
      <c r="A992">
        <v>40742.171679999999</v>
      </c>
      <c r="B992">
        <v>36464.759810000003</v>
      </c>
      <c r="C992">
        <v>1010</v>
      </c>
    </row>
    <row r="993" spans="1:3" x14ac:dyDescent="0.25">
      <c r="A993">
        <v>69864.836989999996</v>
      </c>
      <c r="B993">
        <v>62545.19068</v>
      </c>
      <c r="C993">
        <v>1733</v>
      </c>
    </row>
    <row r="994" spans="1:3" x14ac:dyDescent="0.25">
      <c r="A994">
        <v>100120.7111</v>
      </c>
      <c r="B994">
        <v>89572.407619999998</v>
      </c>
      <c r="C994">
        <v>2482</v>
      </c>
    </row>
    <row r="995" spans="1:3" x14ac:dyDescent="0.25">
      <c r="A995">
        <v>49825.097040000001</v>
      </c>
      <c r="B995">
        <v>44593.796880000002</v>
      </c>
      <c r="C995">
        <v>1235</v>
      </c>
    </row>
    <row r="996" spans="1:3" x14ac:dyDescent="0.25">
      <c r="A996">
        <v>46566.462050000002</v>
      </c>
      <c r="B996">
        <v>41660.440430000002</v>
      </c>
      <c r="C996">
        <v>1155</v>
      </c>
    </row>
    <row r="997" spans="1:3" x14ac:dyDescent="0.25">
      <c r="A997">
        <v>37923.76586</v>
      </c>
      <c r="B997">
        <v>34031.149490000003</v>
      </c>
      <c r="C997">
        <v>940</v>
      </c>
    </row>
    <row r="998" spans="1:3" x14ac:dyDescent="0.25">
      <c r="A998">
        <v>50084.812700000002</v>
      </c>
      <c r="B998">
        <v>44832.212599999999</v>
      </c>
      <c r="C998">
        <v>1241</v>
      </c>
    </row>
    <row r="999" spans="1:3" x14ac:dyDescent="0.25">
      <c r="A999">
        <v>41885.828280000002</v>
      </c>
      <c r="B999">
        <v>37565.478589999999</v>
      </c>
      <c r="C999">
        <v>1039</v>
      </c>
    </row>
    <row r="1000" spans="1:3" x14ac:dyDescent="0.25">
      <c r="A1000">
        <v>147503.57320000001</v>
      </c>
      <c r="B1000">
        <v>131964.51579999999</v>
      </c>
      <c r="C1000">
        <v>3657</v>
      </c>
    </row>
    <row r="1001" spans="1:3" x14ac:dyDescent="0.25">
      <c r="A1001">
        <v>151639.1838</v>
      </c>
      <c r="B1001">
        <v>135498.16320000001</v>
      </c>
      <c r="C1001">
        <v>3758</v>
      </c>
    </row>
    <row r="1002" spans="1:3" x14ac:dyDescent="0.25">
      <c r="A1002">
        <v>72457.297590000002</v>
      </c>
      <c r="B1002">
        <v>64758.50417</v>
      </c>
      <c r="C1002">
        <v>1797</v>
      </c>
    </row>
    <row r="1003" spans="1:3" x14ac:dyDescent="0.25">
      <c r="A1003">
        <v>67355.061180000004</v>
      </c>
      <c r="B1003">
        <v>60179.020850000001</v>
      </c>
      <c r="C1003">
        <v>1671</v>
      </c>
    </row>
    <row r="1004" spans="1:3" x14ac:dyDescent="0.25">
      <c r="A1004">
        <v>58941.792829999999</v>
      </c>
      <c r="B1004">
        <v>52812.782509999997</v>
      </c>
      <c r="C1004">
        <v>1462</v>
      </c>
    </row>
    <row r="1005" spans="1:3" x14ac:dyDescent="0.25">
      <c r="A1005">
        <v>58796.785020000003</v>
      </c>
      <c r="B1005">
        <v>57168.5605</v>
      </c>
      <c r="C1005">
        <v>1581</v>
      </c>
    </row>
    <row r="1006" spans="1:3" x14ac:dyDescent="0.25">
      <c r="A1006">
        <v>57019.389669999997</v>
      </c>
      <c r="B1006">
        <v>55187.383909999997</v>
      </c>
      <c r="C1006">
        <v>1534</v>
      </c>
    </row>
    <row r="1007" spans="1:3" x14ac:dyDescent="0.25">
      <c r="A1007">
        <v>155918.38260000001</v>
      </c>
      <c r="B1007">
        <v>151036.4455</v>
      </c>
      <c r="C1007">
        <v>4216</v>
      </c>
    </row>
    <row r="1008" spans="1:3" x14ac:dyDescent="0.25">
      <c r="A1008">
        <v>208489.09030000001</v>
      </c>
      <c r="B1008">
        <v>201416.8376</v>
      </c>
      <c r="C1008">
        <v>5632</v>
      </c>
    </row>
    <row r="1009" spans="1:3" x14ac:dyDescent="0.25">
      <c r="A1009">
        <v>118580.47259999999</v>
      </c>
      <c r="B1009">
        <v>113346.95729999999</v>
      </c>
      <c r="C1009">
        <v>3173</v>
      </c>
    </row>
    <row r="1010" spans="1:3" x14ac:dyDescent="0.25">
      <c r="A1010">
        <v>142758.8811</v>
      </c>
      <c r="B1010">
        <v>126506.3447</v>
      </c>
      <c r="C1010">
        <v>3540</v>
      </c>
    </row>
    <row r="1011" spans="1:3" x14ac:dyDescent="0.25">
      <c r="A1011">
        <v>96620.986929999999</v>
      </c>
      <c r="B1011">
        <v>85491.833240000007</v>
      </c>
      <c r="C1011">
        <v>2397</v>
      </c>
    </row>
    <row r="1012" spans="1:3" x14ac:dyDescent="0.25">
      <c r="A1012">
        <v>78861.594939999995</v>
      </c>
      <c r="B1012">
        <v>69675.429149999996</v>
      </c>
      <c r="C1012">
        <v>1955</v>
      </c>
    </row>
    <row r="1013" spans="1:3" x14ac:dyDescent="0.25">
      <c r="A1013">
        <v>70279.474390000003</v>
      </c>
      <c r="B1013">
        <v>61976.305789999999</v>
      </c>
      <c r="C1013">
        <v>1740</v>
      </c>
    </row>
    <row r="1014" spans="1:3" x14ac:dyDescent="0.25">
      <c r="A1014">
        <v>87748.862890000004</v>
      </c>
      <c r="B1014">
        <v>77446.60944</v>
      </c>
      <c r="C1014">
        <v>2176</v>
      </c>
    </row>
    <row r="1015" spans="1:3" x14ac:dyDescent="0.25">
      <c r="A1015">
        <v>92053.325769999996</v>
      </c>
      <c r="B1015">
        <v>81209.248349999994</v>
      </c>
      <c r="C1015">
        <v>2283</v>
      </c>
    </row>
    <row r="1016" spans="1:3" x14ac:dyDescent="0.25">
      <c r="A1016">
        <v>51751.383249999999</v>
      </c>
      <c r="B1016">
        <v>45607.234100000001</v>
      </c>
      <c r="C1016">
        <v>1284</v>
      </c>
    </row>
    <row r="1017" spans="1:3" x14ac:dyDescent="0.25">
      <c r="A1017">
        <v>50934.983189999999</v>
      </c>
      <c r="B1017">
        <v>44983.777300000002</v>
      </c>
      <c r="C1017">
        <v>1263</v>
      </c>
    </row>
    <row r="1018" spans="1:3" x14ac:dyDescent="0.25">
      <c r="A1018">
        <v>36113.934869999997</v>
      </c>
      <c r="B1018">
        <v>31885.28845</v>
      </c>
      <c r="C1018">
        <v>896</v>
      </c>
    </row>
    <row r="1019" spans="1:3" x14ac:dyDescent="0.25">
      <c r="A1019">
        <v>31023.359769999999</v>
      </c>
      <c r="B1019">
        <v>27817.642469999999</v>
      </c>
      <c r="C1019">
        <v>768</v>
      </c>
    </row>
    <row r="1020" spans="1:3" x14ac:dyDescent="0.25">
      <c r="A1020">
        <v>22334.212530000001</v>
      </c>
      <c r="B1020">
        <v>19704.093150000001</v>
      </c>
      <c r="C1020">
        <v>521</v>
      </c>
    </row>
    <row r="1021" spans="1:3" x14ac:dyDescent="0.25">
      <c r="A1021">
        <v>69440.928799999994</v>
      </c>
      <c r="B1021">
        <v>62070.751179999999</v>
      </c>
      <c r="C1021">
        <v>1618</v>
      </c>
    </row>
    <row r="1022" spans="1:3" x14ac:dyDescent="0.25">
      <c r="A1022">
        <v>92159.029790000001</v>
      </c>
      <c r="B1022">
        <v>83371.817020000002</v>
      </c>
      <c r="C1022">
        <v>2147</v>
      </c>
    </row>
    <row r="1023" spans="1:3" x14ac:dyDescent="0.25">
      <c r="A1023">
        <v>57296.287850000001</v>
      </c>
      <c r="B1023">
        <v>52701.294609999997</v>
      </c>
      <c r="C1023">
        <v>1335</v>
      </c>
    </row>
    <row r="1024" spans="1:3" x14ac:dyDescent="0.25">
      <c r="A1024">
        <v>57184.941270000003</v>
      </c>
      <c r="B1024">
        <v>51764.93737</v>
      </c>
      <c r="C1024">
        <v>1332</v>
      </c>
    </row>
    <row r="1025" spans="1:3" x14ac:dyDescent="0.25">
      <c r="A1025">
        <v>40951.10428</v>
      </c>
      <c r="B1025">
        <v>37288.62455</v>
      </c>
      <c r="C1025">
        <v>954</v>
      </c>
    </row>
    <row r="1026" spans="1:3" x14ac:dyDescent="0.25">
      <c r="A1026">
        <v>37672.447289999996</v>
      </c>
      <c r="B1026">
        <v>33678.459269999999</v>
      </c>
      <c r="C1026">
        <v>877</v>
      </c>
    </row>
    <row r="1027" spans="1:3" x14ac:dyDescent="0.25">
      <c r="A1027">
        <v>38648.137519999997</v>
      </c>
      <c r="B1027">
        <v>35038.06869</v>
      </c>
      <c r="C1027">
        <v>906</v>
      </c>
    </row>
    <row r="1028" spans="1:3" x14ac:dyDescent="0.25">
      <c r="A1028">
        <v>96020.545370000007</v>
      </c>
      <c r="B1028">
        <v>86810.277530000007</v>
      </c>
      <c r="C1028">
        <v>2249</v>
      </c>
    </row>
    <row r="1029" spans="1:3" x14ac:dyDescent="0.25">
      <c r="A1029">
        <v>105662.59420000001</v>
      </c>
      <c r="B1029">
        <v>95930.016510000001</v>
      </c>
      <c r="C1029">
        <v>2472</v>
      </c>
    </row>
    <row r="1030" spans="1:3" x14ac:dyDescent="0.25">
      <c r="A1030">
        <v>54738.483520000002</v>
      </c>
      <c r="B1030">
        <v>49990.519289999997</v>
      </c>
      <c r="C1030">
        <v>1280</v>
      </c>
    </row>
    <row r="1031" spans="1:3" x14ac:dyDescent="0.25">
      <c r="A1031">
        <v>40131.573510000002</v>
      </c>
      <c r="B1031">
        <v>36347.69872</v>
      </c>
      <c r="C1031">
        <v>940</v>
      </c>
    </row>
    <row r="1032" spans="1:3" x14ac:dyDescent="0.25">
      <c r="A1032">
        <v>70402.991930000004</v>
      </c>
      <c r="B1032">
        <v>63452.761039999998</v>
      </c>
      <c r="C1032">
        <v>1650</v>
      </c>
    </row>
    <row r="1033" spans="1:3" x14ac:dyDescent="0.25">
      <c r="A1033">
        <v>62501.740700000002</v>
      </c>
      <c r="B1033">
        <v>56100.87429</v>
      </c>
      <c r="C1033">
        <v>1467</v>
      </c>
    </row>
    <row r="1034" spans="1:3" x14ac:dyDescent="0.25">
      <c r="A1034">
        <v>53675.218280000001</v>
      </c>
      <c r="B1034">
        <v>48201.940979999999</v>
      </c>
      <c r="C1034">
        <v>1257</v>
      </c>
    </row>
    <row r="1035" spans="1:3" x14ac:dyDescent="0.25">
      <c r="A1035">
        <v>102606.327</v>
      </c>
      <c r="B1035">
        <v>92657.699529999998</v>
      </c>
      <c r="C1035">
        <v>2405</v>
      </c>
    </row>
    <row r="1036" spans="1:3" x14ac:dyDescent="0.25">
      <c r="A1036">
        <v>124988.15549999999</v>
      </c>
      <c r="B1036">
        <v>113187.84600000001</v>
      </c>
      <c r="C1036">
        <v>2929</v>
      </c>
    </row>
    <row r="1037" spans="1:3" x14ac:dyDescent="0.25">
      <c r="A1037">
        <v>67521.037490000002</v>
      </c>
      <c r="B1037">
        <v>61233.718869999997</v>
      </c>
      <c r="C1037">
        <v>1582</v>
      </c>
    </row>
    <row r="1038" spans="1:3" x14ac:dyDescent="0.25">
      <c r="A1038">
        <v>70020.596009999994</v>
      </c>
      <c r="B1038">
        <v>62316.151339999997</v>
      </c>
      <c r="C1038">
        <v>1639</v>
      </c>
    </row>
    <row r="1039" spans="1:3" x14ac:dyDescent="0.25">
      <c r="A1039">
        <v>126954.17019999999</v>
      </c>
      <c r="B1039">
        <v>110698.7429</v>
      </c>
      <c r="C1039">
        <v>2971</v>
      </c>
    </row>
    <row r="1040" spans="1:3" x14ac:dyDescent="0.25">
      <c r="A1040">
        <v>97558.247050000005</v>
      </c>
      <c r="B1040">
        <v>86203.875199999995</v>
      </c>
      <c r="C1040">
        <v>2284</v>
      </c>
    </row>
    <row r="1041" spans="1:3" x14ac:dyDescent="0.25">
      <c r="A1041">
        <v>97039.009869999994</v>
      </c>
      <c r="B1041">
        <v>89413.415970000002</v>
      </c>
      <c r="C1041">
        <v>2266</v>
      </c>
    </row>
    <row r="1042" spans="1:3" x14ac:dyDescent="0.25">
      <c r="A1042">
        <v>168349.2653</v>
      </c>
      <c r="B1042">
        <v>156675.5901</v>
      </c>
      <c r="C1042">
        <v>3938</v>
      </c>
    </row>
    <row r="1043" spans="1:3" x14ac:dyDescent="0.25">
      <c r="A1043">
        <v>202017.42199999999</v>
      </c>
      <c r="B1043">
        <v>189394.6937</v>
      </c>
      <c r="C1043">
        <v>4720</v>
      </c>
    </row>
    <row r="1044" spans="1:3" x14ac:dyDescent="0.25">
      <c r="A1044">
        <v>108459.0001</v>
      </c>
      <c r="B1044">
        <v>102250.1678</v>
      </c>
      <c r="C1044">
        <v>2537</v>
      </c>
    </row>
    <row r="1045" spans="1:3" x14ac:dyDescent="0.25">
      <c r="A1045">
        <v>112536.3771</v>
      </c>
      <c r="B1045">
        <v>105978.4825</v>
      </c>
      <c r="C1045">
        <v>2621</v>
      </c>
    </row>
    <row r="1046" spans="1:3" x14ac:dyDescent="0.25">
      <c r="A1046">
        <v>100479.93</v>
      </c>
      <c r="B1046">
        <v>94692.479290000003</v>
      </c>
      <c r="C1046">
        <v>2341</v>
      </c>
    </row>
    <row r="1047" spans="1:3" x14ac:dyDescent="0.25">
      <c r="A1047">
        <v>81649.688670000003</v>
      </c>
      <c r="B1047">
        <v>77081.660569999993</v>
      </c>
      <c r="C1047">
        <v>1901</v>
      </c>
    </row>
    <row r="1048" spans="1:3" x14ac:dyDescent="0.25">
      <c r="A1048">
        <v>71529.162639999995</v>
      </c>
      <c r="B1048">
        <v>67551.250969999994</v>
      </c>
      <c r="C1048">
        <v>1666</v>
      </c>
    </row>
    <row r="1049" spans="1:3" x14ac:dyDescent="0.25">
      <c r="A1049">
        <v>160938.60159999999</v>
      </c>
      <c r="B1049">
        <v>152555.4173</v>
      </c>
      <c r="C1049">
        <v>3748</v>
      </c>
    </row>
    <row r="1050" spans="1:3" x14ac:dyDescent="0.25">
      <c r="A1050">
        <v>164998.84460000001</v>
      </c>
      <c r="B1050">
        <v>156263.1495</v>
      </c>
      <c r="C1050">
        <v>3843</v>
      </c>
    </row>
    <row r="1051" spans="1:3" x14ac:dyDescent="0.25">
      <c r="A1051">
        <v>97946.783049999998</v>
      </c>
      <c r="B1051">
        <v>93112.608909999995</v>
      </c>
      <c r="C1051">
        <v>2281</v>
      </c>
    </row>
    <row r="1052" spans="1:3" x14ac:dyDescent="0.25">
      <c r="A1052">
        <v>87834.253679999994</v>
      </c>
      <c r="B1052">
        <v>83068.269029999996</v>
      </c>
      <c r="C1052">
        <v>2046</v>
      </c>
    </row>
    <row r="1053" spans="1:3" x14ac:dyDescent="0.25">
      <c r="A1053">
        <v>95509.134980000003</v>
      </c>
      <c r="B1053">
        <v>88104.204530000003</v>
      </c>
      <c r="C1053">
        <v>2181</v>
      </c>
    </row>
    <row r="1054" spans="1:3" x14ac:dyDescent="0.25">
      <c r="A1054">
        <v>77229.971890000001</v>
      </c>
      <c r="B1054">
        <v>71428.87</v>
      </c>
      <c r="C1054">
        <v>1763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D687-5811-40BC-84D3-350C3BBA02CE}">
  <dimension ref="A1:Y1054"/>
  <sheetViews>
    <sheetView zoomScale="86" workbookViewId="0">
      <selection activeCell="V29" sqref="V29"/>
    </sheetView>
  </sheetViews>
  <sheetFormatPr defaultRowHeight="15" x14ac:dyDescent="0.25"/>
  <cols>
    <col min="1" max="1" width="11.7109375" style="3" bestFit="1" customWidth="1"/>
    <col min="2" max="2" width="7" style="3" bestFit="1" customWidth="1"/>
    <col min="3" max="3" width="5.85546875" style="3" bestFit="1" customWidth="1"/>
    <col min="4" max="4" width="11.28515625" style="3" bestFit="1" customWidth="1"/>
    <col min="5" max="6" width="14" bestFit="1" customWidth="1"/>
    <col min="7" max="7" width="13.28515625" bestFit="1" customWidth="1"/>
    <col min="8" max="8" width="25.5703125" bestFit="1" customWidth="1"/>
    <col min="9" max="9" width="9.28515625" bestFit="1" customWidth="1"/>
    <col min="10" max="10" width="18.28515625" bestFit="1" customWidth="1"/>
    <col min="11" max="11" width="14" bestFit="1" customWidth="1"/>
    <col min="12" max="12" width="21" bestFit="1" customWidth="1"/>
    <col min="16" max="16" width="5.85546875" bestFit="1" customWidth="1"/>
    <col min="17" max="17" width="7" bestFit="1" customWidth="1"/>
    <col min="18" max="18" width="12.5703125" bestFit="1" customWidth="1"/>
    <col min="19" max="19" width="9.42578125" bestFit="1" customWidth="1"/>
    <col min="20" max="21" width="14" bestFit="1" customWidth="1"/>
    <col min="22" max="22" width="14.5703125" bestFit="1" customWidth="1"/>
    <col min="23" max="23" width="13.140625" bestFit="1" customWidth="1"/>
    <col min="24" max="25" width="14" bestFit="1" customWidth="1"/>
  </cols>
  <sheetData>
    <row r="1" spans="1:25" x14ac:dyDescent="0.25">
      <c r="A1" s="4" t="s">
        <v>7</v>
      </c>
      <c r="B1" s="4" t="s">
        <v>8</v>
      </c>
      <c r="C1" s="4" t="s">
        <v>9</v>
      </c>
      <c r="D1" s="4" t="s">
        <v>27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35</v>
      </c>
      <c r="J1" s="2" t="s">
        <v>4</v>
      </c>
      <c r="K1" s="2" t="s">
        <v>6</v>
      </c>
      <c r="L1" s="2" t="s">
        <v>5</v>
      </c>
      <c r="P1" t="s">
        <v>9</v>
      </c>
      <c r="Q1" t="s">
        <v>8</v>
      </c>
      <c r="R1" s="9" t="s">
        <v>39</v>
      </c>
      <c r="S1" s="9" t="s">
        <v>7</v>
      </c>
      <c r="T1" t="s">
        <v>40</v>
      </c>
      <c r="U1" t="s">
        <v>56</v>
      </c>
      <c r="V1" t="s">
        <v>59</v>
      </c>
      <c r="W1" t="s">
        <v>41</v>
      </c>
      <c r="X1" t="s">
        <v>60</v>
      </c>
      <c r="Y1" t="s">
        <v>42</v>
      </c>
    </row>
    <row r="2" spans="1:25" x14ac:dyDescent="0.25">
      <c r="A2" s="3">
        <v>41638</v>
      </c>
      <c r="B2" s="3" t="str">
        <f>TEXT(A2,"mmm")</f>
        <v>Dec</v>
      </c>
      <c r="C2" s="3" t="str">
        <f>TEXT(A2,"yyyy")</f>
        <v>2013</v>
      </c>
      <c r="D2" s="3" t="str">
        <f>TEXT(A2,"dddd")</f>
        <v>Monday</v>
      </c>
      <c r="E2">
        <v>223937.96789999999</v>
      </c>
      <c r="F2">
        <v>230079.62100000001</v>
      </c>
      <c r="G2">
        <v>6827</v>
      </c>
      <c r="H2" s="1">
        <f>E2/G2</f>
        <v>32.801811615643764</v>
      </c>
      <c r="I2" s="1" t="str">
        <f>IF(H2&lt;PERCENTILE(H2:H1054,0.33),"Low", IF(H2&gt;PERCENTILE(H2:H1054,0.67),"High","Medium"))</f>
        <v>Low</v>
      </c>
      <c r="J2">
        <f>(E2-F2)/E2 *100</f>
        <v>-2.7425689165593368</v>
      </c>
      <c r="K2">
        <f>F2/G2</f>
        <v>33.701423905082763</v>
      </c>
      <c r="L2">
        <f>(H2-K2)/H2 *100</f>
        <v>-2.7425689165593443</v>
      </c>
      <c r="P2">
        <v>2014</v>
      </c>
      <c r="Q2">
        <v>1</v>
      </c>
      <c r="R2" s="9" t="s">
        <v>43</v>
      </c>
      <c r="S2" s="9">
        <f>DATE(P2,Q2,1)</f>
        <v>41640</v>
      </c>
      <c r="T2">
        <v>4008180.46875</v>
      </c>
      <c r="U2">
        <v>3995719.79296875</v>
      </c>
      <c r="V2">
        <f>(T2-U2)/T2 *100</f>
        <v>0.31088110623761445</v>
      </c>
      <c r="W2">
        <v>119965</v>
      </c>
      <c r="X2">
        <v>33.307379593787772</v>
      </c>
      <c r="Y2">
        <v>33.411248853832397</v>
      </c>
    </row>
    <row r="3" spans="1:25" x14ac:dyDescent="0.25">
      <c r="A3" s="3">
        <v>41639</v>
      </c>
      <c r="B3" s="3" t="str">
        <f t="shared" ref="B3:B66" si="0">TEXT(A3,"mmm")</f>
        <v>Dec</v>
      </c>
      <c r="C3" s="3" t="str">
        <f t="shared" ref="C3:C66" si="1">TEXT(A3,"yyyy")</f>
        <v>2013</v>
      </c>
      <c r="D3" s="3" t="str">
        <f t="shared" ref="D3:D66" si="2">TEXT(A3,"dddd")</f>
        <v>Tuesday</v>
      </c>
      <c r="E3">
        <v>300345.48460000003</v>
      </c>
      <c r="F3">
        <v>306986.12050000002</v>
      </c>
      <c r="G3">
        <v>9268</v>
      </c>
      <c r="H3" s="1">
        <f t="shared" ref="H3:H66" si="3">E3/G3</f>
        <v>32.40672039274925</v>
      </c>
      <c r="I3" s="1" t="str">
        <f t="shared" ref="I3:I66" si="4">IF(H3&lt;PERCENTILE(H3:H1055,0.33),"Low", IF(H3&gt;PERCENTILE(H3:H1055,0.67),"High","Medium"))</f>
        <v>Low</v>
      </c>
      <c r="J3">
        <f t="shared" ref="J3:J66" si="5">(E3-F3)/E3 *100</f>
        <v>-2.2109990795579928</v>
      </c>
      <c r="K3">
        <f t="shared" ref="K3:K66" si="6">F3/G3</f>
        <v>33.123232682347869</v>
      </c>
      <c r="L3">
        <f t="shared" ref="L3:L66" si="7">(H3-K3)/H3 *100</f>
        <v>-2.2109990795579941</v>
      </c>
      <c r="P3">
        <v>2014</v>
      </c>
      <c r="Q3">
        <v>2</v>
      </c>
      <c r="R3" s="9" t="s">
        <v>44</v>
      </c>
      <c r="S3" s="9">
        <f t="shared" ref="S3:S36" si="8">DATE(P3,Q3,1)</f>
        <v>41671</v>
      </c>
      <c r="T3">
        <v>5780487.2109375</v>
      </c>
      <c r="U3">
        <v>5913478.63671875</v>
      </c>
      <c r="V3">
        <f t="shared" ref="V3:V36" si="9">(T3-U3)/T3 *100</f>
        <v>-2.300695787884651</v>
      </c>
      <c r="W3">
        <v>178035</v>
      </c>
      <c r="X3">
        <v>33.215259003672031</v>
      </c>
      <c r="Y3">
        <v>32.468263043432501</v>
      </c>
    </row>
    <row r="4" spans="1:25" x14ac:dyDescent="0.25">
      <c r="A4" s="3">
        <v>41640</v>
      </c>
      <c r="B4" s="3" t="str">
        <f t="shared" si="0"/>
        <v>Jan</v>
      </c>
      <c r="C4" s="3" t="str">
        <f t="shared" si="1"/>
        <v>2014</v>
      </c>
      <c r="D4" s="3" t="str">
        <f t="shared" si="2"/>
        <v>Wednesday</v>
      </c>
      <c r="E4">
        <v>86782.467730000004</v>
      </c>
      <c r="F4">
        <v>87986.318209999998</v>
      </c>
      <c r="G4">
        <v>2678</v>
      </c>
      <c r="H4" s="1">
        <f t="shared" si="3"/>
        <v>32.405701168782677</v>
      </c>
      <c r="I4" s="1" t="str">
        <f t="shared" si="4"/>
        <v>Low</v>
      </c>
      <c r="J4">
        <f t="shared" si="5"/>
        <v>-1.3872047102249343</v>
      </c>
      <c r="K4">
        <f t="shared" si="6"/>
        <v>32.855234581777445</v>
      </c>
      <c r="L4">
        <f t="shared" si="7"/>
        <v>-1.3872047102249283</v>
      </c>
      <c r="P4">
        <v>2014</v>
      </c>
      <c r="Q4">
        <v>3</v>
      </c>
      <c r="R4" s="9" t="s">
        <v>45</v>
      </c>
      <c r="S4" s="9">
        <f t="shared" si="8"/>
        <v>41699</v>
      </c>
      <c r="T4">
        <v>8279517.171875</v>
      </c>
      <c r="U4">
        <v>8415653.953125</v>
      </c>
      <c r="V4">
        <f t="shared" si="9"/>
        <v>-1.6442599057883243</v>
      </c>
      <c r="W4">
        <v>252836</v>
      </c>
      <c r="X4">
        <v>33.285030427332345</v>
      </c>
      <c r="Y4">
        <v>32.746591355166998</v>
      </c>
    </row>
    <row r="5" spans="1:25" x14ac:dyDescent="0.25">
      <c r="A5" s="3">
        <v>41641</v>
      </c>
      <c r="B5" s="3" t="str">
        <f t="shared" si="0"/>
        <v>Jan</v>
      </c>
      <c r="C5" s="3" t="str">
        <f t="shared" si="1"/>
        <v>2014</v>
      </c>
      <c r="D5" s="3" t="str">
        <f t="shared" si="2"/>
        <v>Thursday</v>
      </c>
      <c r="E5">
        <v>200173.11679999999</v>
      </c>
      <c r="F5">
        <v>202881.1777</v>
      </c>
      <c r="G5">
        <v>6175</v>
      </c>
      <c r="H5" s="1">
        <f t="shared" si="3"/>
        <v>32.416699076923074</v>
      </c>
      <c r="I5" s="1" t="str">
        <f t="shared" si="4"/>
        <v>Low</v>
      </c>
      <c r="J5">
        <f t="shared" si="5"/>
        <v>-1.3528594365175073</v>
      </c>
      <c r="K5">
        <f t="shared" si="6"/>
        <v>32.855251449392711</v>
      </c>
      <c r="L5">
        <f t="shared" si="7"/>
        <v>-1.3528594365175057</v>
      </c>
      <c r="P5">
        <v>2014</v>
      </c>
      <c r="Q5">
        <v>4</v>
      </c>
      <c r="R5" s="9" t="s">
        <v>46</v>
      </c>
      <c r="S5" s="9">
        <f t="shared" si="8"/>
        <v>41730</v>
      </c>
      <c r="T5">
        <v>6435743.2578125</v>
      </c>
      <c r="U5">
        <v>6479643.5859375</v>
      </c>
      <c r="V5">
        <f t="shared" si="9"/>
        <v>-0.68213299329037658</v>
      </c>
      <c r="W5">
        <v>190091</v>
      </c>
      <c r="X5">
        <v>34.087061386059837</v>
      </c>
      <c r="Y5">
        <v>33.856117637407898</v>
      </c>
    </row>
    <row r="6" spans="1:25" x14ac:dyDescent="0.25">
      <c r="A6" s="3">
        <v>41642</v>
      </c>
      <c r="B6" s="3" t="str">
        <f t="shared" si="0"/>
        <v>Jan</v>
      </c>
      <c r="C6" s="3" t="str">
        <f t="shared" si="1"/>
        <v>2014</v>
      </c>
      <c r="D6" s="3" t="str">
        <f t="shared" si="2"/>
        <v>Friday</v>
      </c>
      <c r="E6">
        <v>326906.07419999997</v>
      </c>
      <c r="F6">
        <v>333806.29190000001</v>
      </c>
      <c r="G6">
        <v>10084</v>
      </c>
      <c r="H6" s="1">
        <f t="shared" si="3"/>
        <v>32.418293752479173</v>
      </c>
      <c r="I6" s="1" t="str">
        <f t="shared" si="4"/>
        <v>Low</v>
      </c>
      <c r="J6">
        <f t="shared" si="5"/>
        <v>-2.1107646032231595</v>
      </c>
      <c r="K6">
        <f t="shared" si="6"/>
        <v>33.10256762197541</v>
      </c>
      <c r="L6">
        <f t="shared" si="7"/>
        <v>-2.1107646032231675</v>
      </c>
      <c r="P6">
        <v>2014</v>
      </c>
      <c r="Q6">
        <v>5</v>
      </c>
      <c r="R6" s="9" t="s">
        <v>15</v>
      </c>
      <c r="S6" s="9">
        <f t="shared" si="8"/>
        <v>41760</v>
      </c>
      <c r="T6">
        <v>7694906.1875</v>
      </c>
      <c r="U6">
        <v>8017240.4765625</v>
      </c>
      <c r="V6">
        <f t="shared" si="9"/>
        <v>-4.1889307186891553</v>
      </c>
      <c r="W6">
        <v>235793</v>
      </c>
      <c r="X6">
        <v>34.001181021330147</v>
      </c>
      <c r="Y6">
        <v>32.634158721844997</v>
      </c>
    </row>
    <row r="7" spans="1:25" x14ac:dyDescent="0.25">
      <c r="A7" s="3">
        <v>41643</v>
      </c>
      <c r="B7" s="3" t="str">
        <f t="shared" si="0"/>
        <v>Jan</v>
      </c>
      <c r="C7" s="3" t="str">
        <f t="shared" si="1"/>
        <v>2014</v>
      </c>
      <c r="D7" s="3" t="str">
        <f t="shared" si="2"/>
        <v>Saturday</v>
      </c>
      <c r="E7">
        <v>307043.93540000002</v>
      </c>
      <c r="F7">
        <v>313652.34830000001</v>
      </c>
      <c r="G7">
        <v>9470</v>
      </c>
      <c r="H7" s="1">
        <f t="shared" si="3"/>
        <v>32.422802048574447</v>
      </c>
      <c r="I7" s="1" t="str">
        <f t="shared" si="4"/>
        <v>Low</v>
      </c>
      <c r="J7">
        <f t="shared" si="5"/>
        <v>-2.1522694761552339</v>
      </c>
      <c r="K7">
        <f t="shared" si="6"/>
        <v>33.120628120380147</v>
      </c>
      <c r="L7">
        <f t="shared" si="7"/>
        <v>-2.152269476155229</v>
      </c>
      <c r="P7">
        <v>2014</v>
      </c>
      <c r="Q7">
        <v>6</v>
      </c>
      <c r="R7" s="9" t="s">
        <v>47</v>
      </c>
      <c r="S7" s="9">
        <f t="shared" si="8"/>
        <v>41791</v>
      </c>
      <c r="T7">
        <v>6456943.640625</v>
      </c>
      <c r="U7">
        <v>6645843.63671875</v>
      </c>
      <c r="V7">
        <f t="shared" si="9"/>
        <v>-2.925532676253396</v>
      </c>
      <c r="W7">
        <v>198857</v>
      </c>
      <c r="X7">
        <v>33.420214710665199</v>
      </c>
      <c r="Y7">
        <v>32.470285886969002</v>
      </c>
    </row>
    <row r="8" spans="1:25" x14ac:dyDescent="0.25">
      <c r="A8" s="3">
        <v>41644</v>
      </c>
      <c r="B8" s="3" t="str">
        <f t="shared" si="0"/>
        <v>Jan</v>
      </c>
      <c r="C8" s="3" t="str">
        <f t="shared" si="1"/>
        <v>2014</v>
      </c>
      <c r="D8" s="3" t="str">
        <f t="shared" si="2"/>
        <v>Sunday</v>
      </c>
      <c r="E8">
        <v>179188.88449999999</v>
      </c>
      <c r="F8">
        <v>183083.285</v>
      </c>
      <c r="G8">
        <v>5524</v>
      </c>
      <c r="H8" s="1">
        <f t="shared" si="3"/>
        <v>32.438248461259953</v>
      </c>
      <c r="I8" s="1" t="str">
        <f t="shared" si="4"/>
        <v>Low</v>
      </c>
      <c r="J8">
        <f t="shared" si="5"/>
        <v>-2.1733493742464915</v>
      </c>
      <c r="K8">
        <f t="shared" si="6"/>
        <v>33.143244931209267</v>
      </c>
      <c r="L8">
        <f t="shared" si="7"/>
        <v>-2.1733493742464893</v>
      </c>
      <c r="P8">
        <v>2014</v>
      </c>
      <c r="Q8">
        <v>7</v>
      </c>
      <c r="R8" s="9" t="s">
        <v>48</v>
      </c>
      <c r="S8" s="9">
        <f t="shared" si="8"/>
        <v>41821</v>
      </c>
      <c r="T8">
        <v>4933710.81640625</v>
      </c>
      <c r="U8">
        <v>5004894.8828125</v>
      </c>
      <c r="V8">
        <f t="shared" si="9"/>
        <v>-1.4428098657411985</v>
      </c>
      <c r="W8">
        <v>147449</v>
      </c>
      <c r="X8">
        <v>33.943227033160618</v>
      </c>
      <c r="Y8">
        <v>33.460456268989603</v>
      </c>
    </row>
    <row r="9" spans="1:25" x14ac:dyDescent="0.25">
      <c r="A9" s="3">
        <v>41645</v>
      </c>
      <c r="B9" s="3" t="str">
        <f t="shared" si="0"/>
        <v>Jan</v>
      </c>
      <c r="C9" s="3" t="str">
        <f t="shared" si="1"/>
        <v>2014</v>
      </c>
      <c r="D9" s="3" t="str">
        <f t="shared" si="2"/>
        <v>Monday</v>
      </c>
      <c r="E9">
        <v>306351.9509</v>
      </c>
      <c r="F9">
        <v>313446.06809999997</v>
      </c>
      <c r="G9">
        <v>9448</v>
      </c>
      <c r="H9" s="1">
        <f t="shared" si="3"/>
        <v>32.42505830863675</v>
      </c>
      <c r="I9" s="1" t="str">
        <f t="shared" si="4"/>
        <v>Low</v>
      </c>
      <c r="J9">
        <f t="shared" si="5"/>
        <v>-2.3156755421856787</v>
      </c>
      <c r="K9">
        <f t="shared" si="6"/>
        <v>33.175917453429292</v>
      </c>
      <c r="L9">
        <f t="shared" si="7"/>
        <v>-2.3156755421856667</v>
      </c>
      <c r="P9">
        <v>2014</v>
      </c>
      <c r="Q9">
        <v>8</v>
      </c>
      <c r="R9" s="9" t="s">
        <v>49</v>
      </c>
      <c r="S9" s="9">
        <f t="shared" si="8"/>
        <v>41852</v>
      </c>
      <c r="T9">
        <v>10010378.296875</v>
      </c>
      <c r="U9">
        <v>10524432.3359375</v>
      </c>
      <c r="V9">
        <f t="shared" si="9"/>
        <v>-5.1352109162845059</v>
      </c>
      <c r="W9">
        <v>310572</v>
      </c>
      <c r="X9">
        <v>33.88725427899972</v>
      </c>
      <c r="Y9">
        <v>32.2320695261485</v>
      </c>
    </row>
    <row r="10" spans="1:25" x14ac:dyDescent="0.25">
      <c r="A10" s="3">
        <v>41646</v>
      </c>
      <c r="B10" s="3" t="str">
        <f t="shared" si="0"/>
        <v>Jan</v>
      </c>
      <c r="C10" s="3" t="str">
        <f t="shared" si="1"/>
        <v>2014</v>
      </c>
      <c r="D10" s="3" t="str">
        <f t="shared" si="2"/>
        <v>Tuesday</v>
      </c>
      <c r="E10">
        <v>224020.41</v>
      </c>
      <c r="F10">
        <v>229533.9737</v>
      </c>
      <c r="G10">
        <v>6911</v>
      </c>
      <c r="H10" s="1">
        <f t="shared" si="3"/>
        <v>32.415049920416728</v>
      </c>
      <c r="I10" s="1" t="str">
        <f t="shared" si="4"/>
        <v>Low</v>
      </c>
      <c r="J10">
        <f t="shared" si="5"/>
        <v>-2.4611881122795904</v>
      </c>
      <c r="K10">
        <f t="shared" si="6"/>
        <v>33.212845275647517</v>
      </c>
      <c r="L10">
        <f t="shared" si="7"/>
        <v>-2.4611881122795847</v>
      </c>
      <c r="P10">
        <v>2014</v>
      </c>
      <c r="Q10">
        <v>9</v>
      </c>
      <c r="R10" s="9" t="s">
        <v>50</v>
      </c>
      <c r="S10" s="9">
        <f t="shared" si="8"/>
        <v>41883</v>
      </c>
      <c r="T10">
        <v>7643452.6484375</v>
      </c>
      <c r="U10">
        <v>8193560.0625</v>
      </c>
      <c r="V10">
        <f t="shared" si="9"/>
        <v>-7.19710632569896</v>
      </c>
      <c r="W10">
        <v>237742</v>
      </c>
      <c r="X10">
        <v>34.464083176300356</v>
      </c>
      <c r="Y10">
        <v>32.1501991589097</v>
      </c>
    </row>
    <row r="11" spans="1:25" x14ac:dyDescent="0.25">
      <c r="A11" s="3">
        <v>41647</v>
      </c>
      <c r="B11" s="3" t="str">
        <f t="shared" si="0"/>
        <v>Jan</v>
      </c>
      <c r="C11" s="3" t="str">
        <f t="shared" si="1"/>
        <v>2014</v>
      </c>
      <c r="D11" s="3" t="str">
        <f t="shared" si="2"/>
        <v>Wednesday</v>
      </c>
      <c r="E11">
        <v>101836.4022</v>
      </c>
      <c r="F11">
        <v>99381.967520000006</v>
      </c>
      <c r="G11">
        <v>2990</v>
      </c>
      <c r="H11" s="1">
        <f t="shared" si="3"/>
        <v>34.058997391304345</v>
      </c>
      <c r="I11" s="1" t="str">
        <f t="shared" si="4"/>
        <v>Low</v>
      </c>
      <c r="J11">
        <f t="shared" si="5"/>
        <v>2.4101741881843419</v>
      </c>
      <c r="K11">
        <f t="shared" si="6"/>
        <v>33.238116227424754</v>
      </c>
      <c r="L11">
        <f t="shared" si="7"/>
        <v>2.4101741881843273</v>
      </c>
      <c r="P11">
        <v>2014</v>
      </c>
      <c r="Q11">
        <v>10</v>
      </c>
      <c r="R11" s="9" t="s">
        <v>51</v>
      </c>
      <c r="S11" s="9">
        <f t="shared" si="8"/>
        <v>41913</v>
      </c>
      <c r="T11">
        <v>5924683.3515625</v>
      </c>
      <c r="U11">
        <v>6038461.28515625</v>
      </c>
      <c r="V11">
        <f t="shared" si="9"/>
        <v>-1.9204053084751551</v>
      </c>
      <c r="W11">
        <v>171709</v>
      </c>
      <c r="X11">
        <v>35.166830423310657</v>
      </c>
      <c r="Y11">
        <v>34.504209747669002</v>
      </c>
    </row>
    <row r="12" spans="1:25" x14ac:dyDescent="0.25">
      <c r="A12" s="3">
        <v>41648</v>
      </c>
      <c r="B12" s="3" t="str">
        <f t="shared" si="0"/>
        <v>Jan</v>
      </c>
      <c r="C12" s="3" t="str">
        <f t="shared" si="1"/>
        <v>2014</v>
      </c>
      <c r="D12" s="3" t="str">
        <f t="shared" si="2"/>
        <v>Thursday</v>
      </c>
      <c r="E12">
        <v>107804.3049</v>
      </c>
      <c r="F12">
        <v>104816.45849999999</v>
      </c>
      <c r="G12">
        <v>3159</v>
      </c>
      <c r="H12" s="1">
        <f t="shared" si="3"/>
        <v>34.126085754985759</v>
      </c>
      <c r="I12" s="1" t="str">
        <f t="shared" si="4"/>
        <v>Low</v>
      </c>
      <c r="J12">
        <f t="shared" si="5"/>
        <v>2.7715464635401674</v>
      </c>
      <c r="K12">
        <f t="shared" si="6"/>
        <v>33.180265432098764</v>
      </c>
      <c r="L12">
        <f t="shared" si="7"/>
        <v>2.7715464635401736</v>
      </c>
      <c r="P12">
        <v>2014</v>
      </c>
      <c r="Q12">
        <v>11</v>
      </c>
      <c r="R12" s="9" t="s">
        <v>52</v>
      </c>
      <c r="S12" s="9">
        <f t="shared" si="8"/>
        <v>41944</v>
      </c>
      <c r="T12">
        <v>2631353.34765625</v>
      </c>
      <c r="U12">
        <v>2517124.8417968801</v>
      </c>
      <c r="V12">
        <f t="shared" si="9"/>
        <v>4.3410553721761982</v>
      </c>
      <c r="W12">
        <v>68569</v>
      </c>
      <c r="X12">
        <v>36.709370733084633</v>
      </c>
      <c r="Y12">
        <v>38.375262110520097</v>
      </c>
    </row>
    <row r="13" spans="1:25" x14ac:dyDescent="0.25">
      <c r="A13" s="3">
        <v>41649</v>
      </c>
      <c r="B13" s="3" t="str">
        <f t="shared" si="0"/>
        <v>Jan</v>
      </c>
      <c r="C13" s="3" t="str">
        <f t="shared" si="1"/>
        <v>2014</v>
      </c>
      <c r="D13" s="3" t="str">
        <f t="shared" si="2"/>
        <v>Friday</v>
      </c>
      <c r="E13">
        <v>144829.95670000001</v>
      </c>
      <c r="F13">
        <v>141333.9963</v>
      </c>
      <c r="G13">
        <v>4246</v>
      </c>
      <c r="H13" s="1">
        <f t="shared" si="3"/>
        <v>34.10974015544042</v>
      </c>
      <c r="I13" s="1" t="str">
        <f t="shared" si="4"/>
        <v>Low</v>
      </c>
      <c r="J13">
        <f t="shared" si="5"/>
        <v>2.4138379100958542</v>
      </c>
      <c r="K13">
        <f t="shared" si="6"/>
        <v>33.286386316533211</v>
      </c>
      <c r="L13">
        <f t="shared" si="7"/>
        <v>2.4138379100958547</v>
      </c>
      <c r="P13">
        <v>2014</v>
      </c>
      <c r="Q13">
        <v>12</v>
      </c>
      <c r="R13" s="9" t="s">
        <v>53</v>
      </c>
      <c r="S13" s="9">
        <f t="shared" si="8"/>
        <v>41974</v>
      </c>
      <c r="T13">
        <v>5615619.26171875</v>
      </c>
      <c r="U13">
        <v>5934796.0625</v>
      </c>
      <c r="V13">
        <f t="shared" si="9"/>
        <v>-5.6837329225122861</v>
      </c>
      <c r="W13">
        <v>142612</v>
      </c>
      <c r="X13">
        <v>41.614983749614339</v>
      </c>
      <c r="Y13">
        <v>39.376905602044403</v>
      </c>
    </row>
    <row r="14" spans="1:25" x14ac:dyDescent="0.25">
      <c r="A14" s="3">
        <v>41650</v>
      </c>
      <c r="B14" s="3" t="str">
        <f t="shared" si="0"/>
        <v>Jan</v>
      </c>
      <c r="C14" s="3" t="str">
        <f t="shared" si="1"/>
        <v>2014</v>
      </c>
      <c r="D14" s="3" t="str">
        <f t="shared" si="2"/>
        <v>Saturday</v>
      </c>
      <c r="E14">
        <v>146571.48240000001</v>
      </c>
      <c r="F14">
        <v>143179.67000000001</v>
      </c>
      <c r="G14">
        <v>4297</v>
      </c>
      <c r="H14" s="1">
        <f t="shared" si="3"/>
        <v>34.110189062136378</v>
      </c>
      <c r="I14" s="1" t="str">
        <f t="shared" si="4"/>
        <v>Low</v>
      </c>
      <c r="J14">
        <f t="shared" si="5"/>
        <v>2.3141011774334044</v>
      </c>
      <c r="K14">
        <f t="shared" si="6"/>
        <v>33.320844775424717</v>
      </c>
      <c r="L14">
        <f t="shared" si="7"/>
        <v>2.314101177433411</v>
      </c>
      <c r="P14">
        <v>2015</v>
      </c>
      <c r="Q14">
        <v>1</v>
      </c>
      <c r="R14" s="9" t="s">
        <v>43</v>
      </c>
      <c r="S14" s="9">
        <f t="shared" si="8"/>
        <v>42005</v>
      </c>
      <c r="T14">
        <v>3696191.5234375</v>
      </c>
      <c r="U14">
        <v>3851260.46484375</v>
      </c>
      <c r="V14">
        <f t="shared" si="9"/>
        <v>-4.1953708411201083</v>
      </c>
      <c r="W14">
        <v>91740</v>
      </c>
      <c r="X14">
        <v>41.980166392454215</v>
      </c>
      <c r="Y14">
        <v>40.2898574606224</v>
      </c>
    </row>
    <row r="15" spans="1:25" x14ac:dyDescent="0.25">
      <c r="A15" s="3">
        <v>41651</v>
      </c>
      <c r="B15" s="3" t="str">
        <f t="shared" si="0"/>
        <v>Jan</v>
      </c>
      <c r="C15" s="3" t="str">
        <f t="shared" si="1"/>
        <v>2014</v>
      </c>
      <c r="D15" s="3" t="str">
        <f t="shared" si="2"/>
        <v>Sunday</v>
      </c>
      <c r="E15">
        <v>95422.37298</v>
      </c>
      <c r="F15">
        <v>93126.147240000006</v>
      </c>
      <c r="G15">
        <v>2796</v>
      </c>
      <c r="H15" s="1">
        <f t="shared" si="3"/>
        <v>34.12817345493562</v>
      </c>
      <c r="I15" s="1" t="str">
        <f t="shared" si="4"/>
        <v>Low</v>
      </c>
      <c r="J15">
        <f t="shared" si="5"/>
        <v>2.406380881432566</v>
      </c>
      <c r="K15">
        <f t="shared" si="6"/>
        <v>33.306919613733911</v>
      </c>
      <c r="L15">
        <f t="shared" si="7"/>
        <v>2.4063808814325509</v>
      </c>
      <c r="P15">
        <v>2015</v>
      </c>
      <c r="Q15">
        <v>2</v>
      </c>
      <c r="R15" s="9" t="s">
        <v>44</v>
      </c>
      <c r="S15" s="9">
        <f t="shared" si="8"/>
        <v>42036</v>
      </c>
      <c r="T15">
        <v>4901504.89453125</v>
      </c>
      <c r="U15">
        <v>5151756.25390625</v>
      </c>
      <c r="V15">
        <f t="shared" si="9"/>
        <v>-5.1056025600262611</v>
      </c>
      <c r="W15">
        <v>127753</v>
      </c>
      <c r="X15">
        <v>40.325912142229534</v>
      </c>
      <c r="Y15">
        <v>38.367043392572</v>
      </c>
    </row>
    <row r="16" spans="1:25" x14ac:dyDescent="0.25">
      <c r="A16" s="3">
        <v>41652</v>
      </c>
      <c r="B16" s="3" t="str">
        <f t="shared" si="0"/>
        <v>Jan</v>
      </c>
      <c r="C16" s="3" t="str">
        <f t="shared" si="1"/>
        <v>2014</v>
      </c>
      <c r="D16" s="3" t="str">
        <f t="shared" si="2"/>
        <v>Monday</v>
      </c>
      <c r="E16">
        <v>114883.1738</v>
      </c>
      <c r="F16">
        <v>112186.30869999999</v>
      </c>
      <c r="G16">
        <v>3369</v>
      </c>
      <c r="H16" s="1">
        <f t="shared" si="3"/>
        <v>34.100081270406648</v>
      </c>
      <c r="I16" s="1" t="str">
        <f t="shared" si="4"/>
        <v>Low</v>
      </c>
      <c r="J16">
        <f t="shared" si="5"/>
        <v>2.3474848498658121</v>
      </c>
      <c r="K16">
        <f t="shared" si="6"/>
        <v>33.299587028791926</v>
      </c>
      <c r="L16">
        <f t="shared" si="7"/>
        <v>2.347484849865801</v>
      </c>
      <c r="P16">
        <v>2015</v>
      </c>
      <c r="Q16">
        <v>3</v>
      </c>
      <c r="R16" s="9" t="s">
        <v>45</v>
      </c>
      <c r="S16" s="9">
        <f t="shared" si="8"/>
        <v>42064</v>
      </c>
      <c r="T16">
        <v>5269353.11328125</v>
      </c>
      <c r="U16">
        <v>5599630.75</v>
      </c>
      <c r="V16">
        <f t="shared" si="9"/>
        <v>-6.2678972089817808</v>
      </c>
      <c r="W16">
        <v>136673</v>
      </c>
      <c r="X16">
        <v>40.971009270302105</v>
      </c>
      <c r="Y16">
        <v>38.554455622407097</v>
      </c>
    </row>
    <row r="17" spans="1:25" x14ac:dyDescent="0.25">
      <c r="A17" s="3">
        <v>41653</v>
      </c>
      <c r="B17" s="3" t="str">
        <f t="shared" si="0"/>
        <v>Jan</v>
      </c>
      <c r="C17" s="3" t="str">
        <f t="shared" si="1"/>
        <v>2014</v>
      </c>
      <c r="D17" s="3" t="str">
        <f t="shared" si="2"/>
        <v>Tuesday</v>
      </c>
      <c r="E17">
        <v>80090.800080000001</v>
      </c>
      <c r="F17">
        <v>78096.760179999997</v>
      </c>
      <c r="G17">
        <v>2348</v>
      </c>
      <c r="H17" s="1">
        <f t="shared" si="3"/>
        <v>34.11022149914821</v>
      </c>
      <c r="I17" s="1" t="str">
        <f t="shared" si="4"/>
        <v>Low</v>
      </c>
      <c r="J17">
        <f t="shared" si="5"/>
        <v>2.489724035729727</v>
      </c>
      <c r="K17">
        <f t="shared" si="6"/>
        <v>33.260971115843269</v>
      </c>
      <c r="L17">
        <f t="shared" si="7"/>
        <v>2.4897240357297252</v>
      </c>
      <c r="P17">
        <v>2015</v>
      </c>
      <c r="Q17">
        <v>4</v>
      </c>
      <c r="R17" s="9" t="s">
        <v>46</v>
      </c>
      <c r="S17" s="9">
        <f t="shared" si="8"/>
        <v>42095</v>
      </c>
      <c r="T17">
        <v>5963993.94921875</v>
      </c>
      <c r="U17">
        <v>6286673.609375</v>
      </c>
      <c r="V17">
        <f t="shared" si="9"/>
        <v>-5.4104625675973264</v>
      </c>
      <c r="W17">
        <v>153702</v>
      </c>
      <c r="X17">
        <v>40.901703356982992</v>
      </c>
      <c r="Y17">
        <v>38.802318442302301</v>
      </c>
    </row>
    <row r="18" spans="1:25" x14ac:dyDescent="0.25">
      <c r="A18" s="3">
        <v>41654</v>
      </c>
      <c r="B18" s="3" t="str">
        <f t="shared" si="0"/>
        <v>Jan</v>
      </c>
      <c r="C18" s="3" t="str">
        <f t="shared" si="1"/>
        <v>2014</v>
      </c>
      <c r="D18" s="3" t="str">
        <f t="shared" si="2"/>
        <v>Wednesday</v>
      </c>
      <c r="E18">
        <v>98945.371159999995</v>
      </c>
      <c r="F18">
        <v>97159.002590000004</v>
      </c>
      <c r="G18">
        <v>2903</v>
      </c>
      <c r="H18" s="1">
        <f t="shared" si="3"/>
        <v>34.083834364450567</v>
      </c>
      <c r="I18" s="1" t="str">
        <f t="shared" si="4"/>
        <v>Low</v>
      </c>
      <c r="J18">
        <f t="shared" si="5"/>
        <v>1.8054089332904084</v>
      </c>
      <c r="K18">
        <f t="shared" si="6"/>
        <v>33.46848177402687</v>
      </c>
      <c r="L18">
        <f t="shared" si="7"/>
        <v>1.80540893329041</v>
      </c>
      <c r="P18">
        <v>2015</v>
      </c>
      <c r="Q18">
        <v>5</v>
      </c>
      <c r="R18" s="9" t="s">
        <v>15</v>
      </c>
      <c r="S18" s="9">
        <f t="shared" si="8"/>
        <v>42125</v>
      </c>
      <c r="T18">
        <v>8384367.1875</v>
      </c>
      <c r="U18">
        <v>8973701.8828125</v>
      </c>
      <c r="V18">
        <f t="shared" si="9"/>
        <v>-7.0289704891637061</v>
      </c>
      <c r="W18">
        <v>220775</v>
      </c>
      <c r="X18">
        <v>40.646367943890837</v>
      </c>
      <c r="Y18">
        <v>37.976977409126903</v>
      </c>
    </row>
    <row r="19" spans="1:25" x14ac:dyDescent="0.25">
      <c r="A19" s="3">
        <v>41655</v>
      </c>
      <c r="B19" s="3" t="str">
        <f t="shared" si="0"/>
        <v>Jan</v>
      </c>
      <c r="C19" s="3" t="str">
        <f t="shared" si="1"/>
        <v>2014</v>
      </c>
      <c r="D19" s="3" t="str">
        <f t="shared" si="2"/>
        <v>Thursday</v>
      </c>
      <c r="E19">
        <v>84904.901710000006</v>
      </c>
      <c r="F19">
        <v>83350.43316</v>
      </c>
      <c r="G19">
        <v>2491</v>
      </c>
      <c r="H19" s="1">
        <f t="shared" si="3"/>
        <v>34.084665479727022</v>
      </c>
      <c r="I19" s="1" t="str">
        <f t="shared" si="4"/>
        <v>Low</v>
      </c>
      <c r="J19">
        <f t="shared" si="5"/>
        <v>1.8308348737148605</v>
      </c>
      <c r="K19">
        <f t="shared" si="6"/>
        <v>33.460631537535129</v>
      </c>
      <c r="L19">
        <f t="shared" si="7"/>
        <v>1.8308348737148614</v>
      </c>
      <c r="P19">
        <v>2015</v>
      </c>
      <c r="Q19">
        <v>6</v>
      </c>
      <c r="R19" s="9" t="s">
        <v>47</v>
      </c>
      <c r="S19" s="9">
        <f t="shared" si="8"/>
        <v>42156</v>
      </c>
      <c r="T19">
        <v>5332108.296875</v>
      </c>
      <c r="U19">
        <v>5520925.33984375</v>
      </c>
      <c r="V19">
        <f t="shared" si="9"/>
        <v>-3.5411329338417676</v>
      </c>
      <c r="W19">
        <v>136581</v>
      </c>
      <c r="X19">
        <v>40.42235259548363</v>
      </c>
      <c r="Y19">
        <v>39.039897913143101</v>
      </c>
    </row>
    <row r="20" spans="1:25" x14ac:dyDescent="0.25">
      <c r="A20" s="3">
        <v>41656</v>
      </c>
      <c r="B20" s="3" t="str">
        <f t="shared" si="0"/>
        <v>Jan</v>
      </c>
      <c r="C20" s="3" t="str">
        <f t="shared" si="1"/>
        <v>2014</v>
      </c>
      <c r="D20" s="3" t="str">
        <f t="shared" si="2"/>
        <v>Friday</v>
      </c>
      <c r="E20">
        <v>135460.61970000001</v>
      </c>
      <c r="F20">
        <v>132703.33540000001</v>
      </c>
      <c r="G20">
        <v>3968</v>
      </c>
      <c r="H20" s="1">
        <f t="shared" si="3"/>
        <v>34.138261013104838</v>
      </c>
      <c r="I20" s="1" t="str">
        <f t="shared" si="4"/>
        <v>Low</v>
      </c>
      <c r="J20">
        <f t="shared" si="5"/>
        <v>2.0354877351856668</v>
      </c>
      <c r="K20">
        <f t="shared" si="6"/>
        <v>33.44338089717742</v>
      </c>
      <c r="L20">
        <f t="shared" si="7"/>
        <v>2.0354877351856642</v>
      </c>
      <c r="P20">
        <v>2015</v>
      </c>
      <c r="Q20">
        <v>7</v>
      </c>
      <c r="R20" s="9" t="s">
        <v>48</v>
      </c>
      <c r="S20" s="9">
        <f t="shared" si="8"/>
        <v>42186</v>
      </c>
      <c r="T20">
        <v>3677692.37890625</v>
      </c>
      <c r="U20">
        <v>3829188.58203125</v>
      </c>
      <c r="V20">
        <f t="shared" si="9"/>
        <v>-4.1193277609057439</v>
      </c>
      <c r="W20">
        <v>95600</v>
      </c>
      <c r="X20">
        <v>40.054273870619767</v>
      </c>
      <c r="Y20">
        <v>38.469585553412699</v>
      </c>
    </row>
    <row r="21" spans="1:25" x14ac:dyDescent="0.25">
      <c r="A21" s="3">
        <v>41657</v>
      </c>
      <c r="B21" s="3" t="str">
        <f t="shared" si="0"/>
        <v>Jan</v>
      </c>
      <c r="C21" s="3" t="str">
        <f t="shared" si="1"/>
        <v>2014</v>
      </c>
      <c r="D21" s="3" t="str">
        <f t="shared" si="2"/>
        <v>Saturday</v>
      </c>
      <c r="E21">
        <v>149925.74969999999</v>
      </c>
      <c r="F21">
        <v>146928.4118</v>
      </c>
      <c r="G21">
        <v>4393</v>
      </c>
      <c r="H21" s="1">
        <f t="shared" si="3"/>
        <v>34.128329091736852</v>
      </c>
      <c r="I21" s="1" t="str">
        <f t="shared" si="4"/>
        <v>Low</v>
      </c>
      <c r="J21">
        <f t="shared" si="5"/>
        <v>1.9992148820316917</v>
      </c>
      <c r="K21">
        <f t="shared" si="6"/>
        <v>33.446030457546094</v>
      </c>
      <c r="L21">
        <f t="shared" si="7"/>
        <v>1.9992148820317019</v>
      </c>
      <c r="P21">
        <v>2015</v>
      </c>
      <c r="Q21">
        <v>8</v>
      </c>
      <c r="R21" s="9" t="s">
        <v>49</v>
      </c>
      <c r="S21" s="9">
        <f t="shared" si="8"/>
        <v>42217</v>
      </c>
      <c r="T21">
        <v>3934668.37890625</v>
      </c>
      <c r="U21">
        <v>4210927.3457031297</v>
      </c>
      <c r="V21">
        <f t="shared" si="9"/>
        <v>-7.021149946915564</v>
      </c>
      <c r="W21">
        <v>108899</v>
      </c>
      <c r="X21">
        <v>38.668191128505583</v>
      </c>
      <c r="Y21">
        <v>36.131354547849398</v>
      </c>
    </row>
    <row r="22" spans="1:25" x14ac:dyDescent="0.25">
      <c r="A22" s="3">
        <v>41658</v>
      </c>
      <c r="B22" s="3" t="str">
        <f t="shared" si="0"/>
        <v>Jan</v>
      </c>
      <c r="C22" s="3" t="str">
        <f t="shared" si="1"/>
        <v>2014</v>
      </c>
      <c r="D22" s="3" t="str">
        <f t="shared" si="2"/>
        <v>Sunday</v>
      </c>
      <c r="E22">
        <v>74297.307180000003</v>
      </c>
      <c r="F22">
        <v>72782.284320000006</v>
      </c>
      <c r="G22">
        <v>2176</v>
      </c>
      <c r="H22" s="1">
        <f t="shared" si="3"/>
        <v>34.143983079044119</v>
      </c>
      <c r="I22" s="1" t="str">
        <f t="shared" si="4"/>
        <v>Low</v>
      </c>
      <c r="J22">
        <f t="shared" si="5"/>
        <v>2.0391356261803044</v>
      </c>
      <c r="K22">
        <f t="shared" si="6"/>
        <v>33.447740955882352</v>
      </c>
      <c r="L22">
        <f t="shared" si="7"/>
        <v>2.0391356261803142</v>
      </c>
      <c r="P22">
        <v>2015</v>
      </c>
      <c r="Q22">
        <v>9</v>
      </c>
      <c r="R22" s="9" t="s">
        <v>50</v>
      </c>
      <c r="S22" s="9">
        <f t="shared" si="8"/>
        <v>42248</v>
      </c>
      <c r="T22">
        <v>4669899.8574218797</v>
      </c>
      <c r="U22">
        <v>5024494.69921875</v>
      </c>
      <c r="V22">
        <f t="shared" si="9"/>
        <v>-7.5932001246945839</v>
      </c>
      <c r="W22">
        <v>134837</v>
      </c>
      <c r="X22">
        <v>37.263471444920533</v>
      </c>
      <c r="Y22">
        <v>34.633667742695799</v>
      </c>
    </row>
    <row r="23" spans="1:25" x14ac:dyDescent="0.25">
      <c r="A23" s="3">
        <v>41659</v>
      </c>
      <c r="B23" s="3" t="str">
        <f t="shared" si="0"/>
        <v>Jan</v>
      </c>
      <c r="C23" s="3" t="str">
        <f t="shared" si="1"/>
        <v>2014</v>
      </c>
      <c r="D23" s="3" t="str">
        <f t="shared" si="2"/>
        <v>Monday</v>
      </c>
      <c r="E23">
        <v>83356.424559999999</v>
      </c>
      <c r="F23">
        <v>81789.136119999996</v>
      </c>
      <c r="G23">
        <v>2443</v>
      </c>
      <c r="H23" s="1">
        <f t="shared" si="3"/>
        <v>34.12051762586983</v>
      </c>
      <c r="I23" s="1" t="str">
        <f t="shared" si="4"/>
        <v>Low</v>
      </c>
      <c r="J23">
        <f t="shared" si="5"/>
        <v>1.8802251275447508</v>
      </c>
      <c r="K23">
        <f t="shared" si="6"/>
        <v>33.47897507981989</v>
      </c>
      <c r="L23">
        <f t="shared" si="7"/>
        <v>1.8802251275447521</v>
      </c>
      <c r="P23">
        <v>2015</v>
      </c>
      <c r="Q23">
        <v>10</v>
      </c>
      <c r="R23" s="9" t="s">
        <v>51</v>
      </c>
      <c r="S23" s="9">
        <f t="shared" si="8"/>
        <v>42278</v>
      </c>
      <c r="T23">
        <v>4828975.078125</v>
      </c>
      <c r="U23">
        <v>5175494.1015625</v>
      </c>
      <c r="V23">
        <f t="shared" si="9"/>
        <v>-7.175829608382382</v>
      </c>
      <c r="W23">
        <v>135328</v>
      </c>
      <c r="X23">
        <v>38.244074408566597</v>
      </c>
      <c r="Y23">
        <v>35.683488103903102</v>
      </c>
    </row>
    <row r="24" spans="1:25" x14ac:dyDescent="0.25">
      <c r="A24" s="3">
        <v>41660</v>
      </c>
      <c r="B24" s="3" t="str">
        <f t="shared" si="0"/>
        <v>Jan</v>
      </c>
      <c r="C24" s="3" t="str">
        <f t="shared" si="1"/>
        <v>2014</v>
      </c>
      <c r="D24" s="3" t="str">
        <f t="shared" si="2"/>
        <v>Tuesday</v>
      </c>
      <c r="E24">
        <v>89922.014290000006</v>
      </c>
      <c r="F24">
        <v>88388.916070000007</v>
      </c>
      <c r="G24">
        <v>2638</v>
      </c>
      <c r="H24" s="1">
        <f t="shared" si="3"/>
        <v>34.087192680060653</v>
      </c>
      <c r="I24" s="1" t="str">
        <f t="shared" si="4"/>
        <v>Low</v>
      </c>
      <c r="J24">
        <f t="shared" si="5"/>
        <v>1.7049197931173254</v>
      </c>
      <c r="K24">
        <f t="shared" si="6"/>
        <v>33.506033385140263</v>
      </c>
      <c r="L24">
        <f t="shared" si="7"/>
        <v>1.7049197931173126</v>
      </c>
      <c r="P24">
        <v>2015</v>
      </c>
      <c r="Q24">
        <v>11</v>
      </c>
      <c r="R24" s="9" t="s">
        <v>52</v>
      </c>
      <c r="S24" s="9">
        <f t="shared" si="8"/>
        <v>42309</v>
      </c>
      <c r="T24">
        <v>6538148.90625</v>
      </c>
      <c r="U24">
        <v>7138833.4609375</v>
      </c>
      <c r="V24">
        <f t="shared" si="9"/>
        <v>-9.1873795366344257</v>
      </c>
      <c r="W24">
        <v>185868</v>
      </c>
      <c r="X24">
        <v>38.408082407609164</v>
      </c>
      <c r="Y24">
        <v>35.176302032894299</v>
      </c>
    </row>
    <row r="25" spans="1:25" x14ac:dyDescent="0.25">
      <c r="A25" s="3">
        <v>41661</v>
      </c>
      <c r="B25" s="3" t="str">
        <f t="shared" si="0"/>
        <v>Jan</v>
      </c>
      <c r="C25" s="3" t="str">
        <f t="shared" si="1"/>
        <v>2014</v>
      </c>
      <c r="D25" s="3" t="str">
        <f t="shared" si="2"/>
        <v>Wednesday</v>
      </c>
      <c r="E25">
        <v>57806.302779999998</v>
      </c>
      <c r="F25">
        <v>57157.28254</v>
      </c>
      <c r="G25">
        <v>1704</v>
      </c>
      <c r="H25" s="1">
        <f t="shared" si="3"/>
        <v>33.923886607981217</v>
      </c>
      <c r="I25" s="1" t="str">
        <f t="shared" si="4"/>
        <v>Low</v>
      </c>
      <c r="J25">
        <f t="shared" si="5"/>
        <v>1.1227499576820332</v>
      </c>
      <c r="K25">
        <f t="shared" si="6"/>
        <v>33.543006185446011</v>
      </c>
      <c r="L25">
        <f t="shared" si="7"/>
        <v>1.1227499576820221</v>
      </c>
      <c r="P25">
        <v>2015</v>
      </c>
      <c r="Q25">
        <v>12</v>
      </c>
      <c r="R25" s="9" t="s">
        <v>53</v>
      </c>
      <c r="S25" s="9">
        <f t="shared" si="8"/>
        <v>42339</v>
      </c>
      <c r="T25">
        <v>6820689.6640625</v>
      </c>
      <c r="U25">
        <v>7154317.328125</v>
      </c>
      <c r="V25">
        <f t="shared" si="9"/>
        <v>-4.8914065951475436</v>
      </c>
      <c r="W25">
        <v>187333</v>
      </c>
      <c r="X25">
        <v>38.190373976421668</v>
      </c>
      <c r="Y25">
        <v>36.409440216419398</v>
      </c>
    </row>
    <row r="26" spans="1:25" x14ac:dyDescent="0.25">
      <c r="A26" s="3">
        <v>41662</v>
      </c>
      <c r="B26" s="3" t="str">
        <f t="shared" si="0"/>
        <v>Jan</v>
      </c>
      <c r="C26" s="3" t="str">
        <f t="shared" si="1"/>
        <v>2014</v>
      </c>
      <c r="D26" s="3" t="str">
        <f t="shared" si="2"/>
        <v>Thursday</v>
      </c>
      <c r="E26">
        <v>63977.750350000002</v>
      </c>
      <c r="F26">
        <v>62863.987240000002</v>
      </c>
      <c r="G26">
        <v>1872</v>
      </c>
      <c r="H26" s="1">
        <f t="shared" si="3"/>
        <v>34.17614869123932</v>
      </c>
      <c r="I26" s="1" t="str">
        <f t="shared" si="4"/>
        <v>Low</v>
      </c>
      <c r="J26">
        <f t="shared" si="5"/>
        <v>1.7408600707386388</v>
      </c>
      <c r="K26">
        <f t="shared" si="6"/>
        <v>33.581189764957266</v>
      </c>
      <c r="L26">
        <f t="shared" si="7"/>
        <v>1.7408600707386466</v>
      </c>
      <c r="P26">
        <v>2016</v>
      </c>
      <c r="Q26">
        <v>1</v>
      </c>
      <c r="R26" s="9" t="s">
        <v>43</v>
      </c>
      <c r="S26" s="9">
        <f t="shared" si="8"/>
        <v>42370</v>
      </c>
      <c r="T26">
        <v>5403090.51171875</v>
      </c>
      <c r="U26">
        <v>5657342.68359375</v>
      </c>
      <c r="V26">
        <f t="shared" si="9"/>
        <v>-4.7056804124149521</v>
      </c>
      <c r="W26">
        <v>150561</v>
      </c>
      <c r="X26">
        <v>37.575087065001895</v>
      </c>
      <c r="Y26">
        <v>35.8863883191447</v>
      </c>
    </row>
    <row r="27" spans="1:25" x14ac:dyDescent="0.25">
      <c r="A27" s="3">
        <v>41663</v>
      </c>
      <c r="B27" s="3" t="str">
        <f t="shared" si="0"/>
        <v>Jan</v>
      </c>
      <c r="C27" s="3" t="str">
        <f t="shared" si="1"/>
        <v>2014</v>
      </c>
      <c r="D27" s="3" t="str">
        <f t="shared" si="2"/>
        <v>Friday</v>
      </c>
      <c r="E27">
        <v>116958.79979999999</v>
      </c>
      <c r="F27">
        <v>114823.79519999999</v>
      </c>
      <c r="G27">
        <v>3423</v>
      </c>
      <c r="H27" s="1">
        <f t="shared" si="3"/>
        <v>34.168507099035935</v>
      </c>
      <c r="I27" s="1" t="str">
        <f t="shared" si="4"/>
        <v>Low</v>
      </c>
      <c r="J27">
        <f t="shared" si="5"/>
        <v>1.8254330616002099</v>
      </c>
      <c r="K27">
        <f t="shared" si="6"/>
        <v>33.544783873794913</v>
      </c>
      <c r="L27">
        <f t="shared" si="7"/>
        <v>1.8254330616002261</v>
      </c>
      <c r="P27">
        <v>2016</v>
      </c>
      <c r="Q27">
        <v>2</v>
      </c>
      <c r="R27" s="9" t="s">
        <v>44</v>
      </c>
      <c r="S27" s="9">
        <f t="shared" si="8"/>
        <v>42401</v>
      </c>
      <c r="T27">
        <v>4891882.3359375</v>
      </c>
      <c r="U27">
        <v>4889303.6640625</v>
      </c>
      <c r="V27">
        <f t="shared" si="9"/>
        <v>5.2713284946699621E-2</v>
      </c>
      <c r="W27">
        <v>132990</v>
      </c>
      <c r="X27">
        <v>36.764445928735242</v>
      </c>
      <c r="Y27">
        <v>36.783835896965897</v>
      </c>
    </row>
    <row r="28" spans="1:25" x14ac:dyDescent="0.25">
      <c r="A28" s="3">
        <v>41664</v>
      </c>
      <c r="B28" s="3" t="str">
        <f t="shared" si="0"/>
        <v>Jan</v>
      </c>
      <c r="C28" s="3" t="str">
        <f t="shared" si="1"/>
        <v>2014</v>
      </c>
      <c r="D28" s="3" t="str">
        <f t="shared" si="2"/>
        <v>Saturday</v>
      </c>
      <c r="E28">
        <v>155272.8248</v>
      </c>
      <c r="F28">
        <v>152636.27660000001</v>
      </c>
      <c r="G28">
        <v>4544</v>
      </c>
      <c r="H28" s="1">
        <f t="shared" si="3"/>
        <v>34.17095616197183</v>
      </c>
      <c r="I28" s="1" t="str">
        <f t="shared" si="4"/>
        <v>Low</v>
      </c>
      <c r="J28">
        <f t="shared" si="5"/>
        <v>1.6980100693060811</v>
      </c>
      <c r="K28">
        <f t="shared" si="6"/>
        <v>33.590729885563384</v>
      </c>
      <c r="L28">
        <f t="shared" si="7"/>
        <v>1.6980100693060738</v>
      </c>
      <c r="P28">
        <v>2016</v>
      </c>
      <c r="Q28">
        <v>3</v>
      </c>
      <c r="R28" s="9" t="s">
        <v>45</v>
      </c>
      <c r="S28" s="9">
        <f t="shared" si="8"/>
        <v>42430</v>
      </c>
      <c r="T28">
        <v>2951855.984375</v>
      </c>
      <c r="U28">
        <v>2917801.4902343801</v>
      </c>
      <c r="V28">
        <f t="shared" si="9"/>
        <v>1.1536638074784085</v>
      </c>
      <c r="W28">
        <v>74185</v>
      </c>
      <c r="X28">
        <v>39.331421314745299</v>
      </c>
      <c r="Y28">
        <v>39.790469560895097</v>
      </c>
    </row>
    <row r="29" spans="1:25" x14ac:dyDescent="0.25">
      <c r="A29" s="3">
        <v>41665</v>
      </c>
      <c r="B29" s="3" t="str">
        <f t="shared" si="0"/>
        <v>Jan</v>
      </c>
      <c r="C29" s="3" t="str">
        <f t="shared" si="1"/>
        <v>2014</v>
      </c>
      <c r="D29" s="3" t="str">
        <f t="shared" si="2"/>
        <v>Sunday</v>
      </c>
      <c r="E29">
        <v>82885.215909999999</v>
      </c>
      <c r="F29">
        <v>81583.166949999999</v>
      </c>
      <c r="G29">
        <v>2426</v>
      </c>
      <c r="H29" s="1">
        <f t="shared" si="3"/>
        <v>34.165381661170649</v>
      </c>
      <c r="I29" s="1" t="str">
        <f t="shared" si="4"/>
        <v>Low</v>
      </c>
      <c r="J29">
        <f t="shared" si="5"/>
        <v>1.5709061570326552</v>
      </c>
      <c r="K29">
        <f t="shared" si="6"/>
        <v>33.628675577081616</v>
      </c>
      <c r="L29">
        <f t="shared" si="7"/>
        <v>1.5709061570326488</v>
      </c>
      <c r="P29">
        <v>2016</v>
      </c>
      <c r="Q29">
        <v>4</v>
      </c>
      <c r="R29" s="9" t="s">
        <v>46</v>
      </c>
      <c r="S29" s="9">
        <f t="shared" si="8"/>
        <v>42461</v>
      </c>
      <c r="T29">
        <v>6656880.23828125</v>
      </c>
      <c r="U29">
        <v>7127731.921875</v>
      </c>
      <c r="V29">
        <f t="shared" si="9"/>
        <v>-7.0731583976238079</v>
      </c>
      <c r="W29">
        <v>190235</v>
      </c>
      <c r="X29">
        <v>37.46803649105054</v>
      </c>
      <c r="Y29">
        <v>34.992931049918496</v>
      </c>
    </row>
    <row r="30" spans="1:25" x14ac:dyDescent="0.25">
      <c r="A30" s="3">
        <v>41666</v>
      </c>
      <c r="B30" s="3" t="str">
        <f t="shared" si="0"/>
        <v>Jan</v>
      </c>
      <c r="C30" s="3" t="str">
        <f t="shared" si="1"/>
        <v>2014</v>
      </c>
      <c r="D30" s="3" t="str">
        <f t="shared" si="2"/>
        <v>Monday</v>
      </c>
      <c r="E30">
        <v>72353.425879999995</v>
      </c>
      <c r="F30">
        <v>71377.156459999998</v>
      </c>
      <c r="G30">
        <v>2117</v>
      </c>
      <c r="H30" s="1">
        <f t="shared" si="3"/>
        <v>34.177338630136987</v>
      </c>
      <c r="I30" s="1" t="str">
        <f t="shared" si="4"/>
        <v>Low</v>
      </c>
      <c r="J30">
        <f t="shared" si="5"/>
        <v>1.3493064193244486</v>
      </c>
      <c r="K30">
        <f t="shared" si="6"/>
        <v>33.716181606046291</v>
      </c>
      <c r="L30">
        <f t="shared" si="7"/>
        <v>1.3493064193244566</v>
      </c>
      <c r="P30">
        <v>2016</v>
      </c>
      <c r="Q30">
        <v>5</v>
      </c>
      <c r="R30" s="9" t="s">
        <v>15</v>
      </c>
      <c r="S30" s="9">
        <f t="shared" si="8"/>
        <v>42491</v>
      </c>
      <c r="T30">
        <v>5170231.87890625</v>
      </c>
      <c r="U30">
        <v>5338394.6074218797</v>
      </c>
      <c r="V30">
        <f t="shared" si="9"/>
        <v>-3.2525181162900583</v>
      </c>
      <c r="W30">
        <v>146298</v>
      </c>
      <c r="X30">
        <v>36.489867307973313</v>
      </c>
      <c r="Y30">
        <v>35.340413942133502</v>
      </c>
    </row>
    <row r="31" spans="1:25" x14ac:dyDescent="0.25">
      <c r="A31" s="3">
        <v>41667</v>
      </c>
      <c r="B31" s="3" t="str">
        <f t="shared" si="0"/>
        <v>Jan</v>
      </c>
      <c r="C31" s="3" t="str">
        <f t="shared" si="1"/>
        <v>2014</v>
      </c>
      <c r="D31" s="3" t="str">
        <f t="shared" si="2"/>
        <v>Tuesday</v>
      </c>
      <c r="E31">
        <v>50415.903760000001</v>
      </c>
      <c r="F31">
        <v>49769.098239999999</v>
      </c>
      <c r="G31">
        <v>1476</v>
      </c>
      <c r="H31" s="1">
        <f t="shared" si="3"/>
        <v>34.157116368563685</v>
      </c>
      <c r="I31" s="1" t="str">
        <f t="shared" si="4"/>
        <v>Low</v>
      </c>
      <c r="J31">
        <f t="shared" si="5"/>
        <v>1.2829394531516412</v>
      </c>
      <c r="K31">
        <f t="shared" si="6"/>
        <v>33.718901246612468</v>
      </c>
      <c r="L31">
        <f t="shared" si="7"/>
        <v>1.2829394531516296</v>
      </c>
      <c r="P31">
        <v>2016</v>
      </c>
      <c r="Q31">
        <v>6</v>
      </c>
      <c r="R31" s="9" t="s">
        <v>47</v>
      </c>
      <c r="S31" s="9">
        <f t="shared" si="8"/>
        <v>42522</v>
      </c>
      <c r="T31">
        <v>6771134.91015625</v>
      </c>
      <c r="U31">
        <v>7168349.6875</v>
      </c>
      <c r="V31">
        <f t="shared" si="9"/>
        <v>-5.8662954233559041</v>
      </c>
      <c r="W31">
        <v>197469</v>
      </c>
      <c r="X31">
        <v>36.301139356050825</v>
      </c>
      <c r="Y31">
        <v>34.289609559760002</v>
      </c>
    </row>
    <row r="32" spans="1:25" x14ac:dyDescent="0.25">
      <c r="A32" s="3">
        <v>41668</v>
      </c>
      <c r="B32" s="3" t="str">
        <f t="shared" si="0"/>
        <v>Jan</v>
      </c>
      <c r="C32" s="3" t="str">
        <f t="shared" si="1"/>
        <v>2014</v>
      </c>
      <c r="D32" s="3" t="str">
        <f t="shared" si="2"/>
        <v>Wednesday</v>
      </c>
      <c r="E32">
        <v>67458.301890000002</v>
      </c>
      <c r="F32">
        <v>66529.441999999995</v>
      </c>
      <c r="G32">
        <v>1974</v>
      </c>
      <c r="H32" s="1">
        <f t="shared" si="3"/>
        <v>34.173405212765957</v>
      </c>
      <c r="I32" s="1" t="str">
        <f t="shared" si="4"/>
        <v>Low</v>
      </c>
      <c r="J32">
        <f t="shared" si="5"/>
        <v>1.3769393298909898</v>
      </c>
      <c r="K32">
        <f t="shared" si="6"/>
        <v>33.70285815602837</v>
      </c>
      <c r="L32">
        <f t="shared" si="7"/>
        <v>1.3769393298909745</v>
      </c>
      <c r="P32">
        <v>2016</v>
      </c>
      <c r="Q32">
        <v>7</v>
      </c>
      <c r="R32" s="9" t="s">
        <v>48</v>
      </c>
      <c r="S32" s="9">
        <f t="shared" si="8"/>
        <v>42552</v>
      </c>
      <c r="T32">
        <v>3324825.421875</v>
      </c>
      <c r="U32">
        <v>3268397.26171875</v>
      </c>
      <c r="V32">
        <f t="shared" si="9"/>
        <v>1.6971766332449401</v>
      </c>
      <c r="W32">
        <v>90653</v>
      </c>
      <c r="X32">
        <v>36.053933810450289</v>
      </c>
      <c r="Y32">
        <v>36.676397051118002</v>
      </c>
    </row>
    <row r="33" spans="1:25" x14ac:dyDescent="0.25">
      <c r="A33" s="3">
        <v>41669</v>
      </c>
      <c r="B33" s="3" t="str">
        <f t="shared" si="0"/>
        <v>Jan</v>
      </c>
      <c r="C33" s="3" t="str">
        <f t="shared" si="1"/>
        <v>2014</v>
      </c>
      <c r="D33" s="3" t="str">
        <f t="shared" si="2"/>
        <v>Thursday</v>
      </c>
      <c r="E33">
        <v>64640.369310000002</v>
      </c>
      <c r="F33">
        <v>63757.839870000003</v>
      </c>
      <c r="G33">
        <v>1892</v>
      </c>
      <c r="H33" s="1">
        <f t="shared" si="3"/>
        <v>34.165100058139537</v>
      </c>
      <c r="I33" s="1" t="str">
        <f t="shared" si="4"/>
        <v>Low</v>
      </c>
      <c r="J33">
        <f t="shared" si="5"/>
        <v>1.3652914570577326</v>
      </c>
      <c r="K33">
        <f t="shared" si="6"/>
        <v>33.698646865750533</v>
      </c>
      <c r="L33">
        <f t="shared" si="7"/>
        <v>1.3652914570577277</v>
      </c>
      <c r="P33">
        <v>2016</v>
      </c>
      <c r="Q33">
        <v>8</v>
      </c>
      <c r="R33" s="9" t="s">
        <v>49</v>
      </c>
      <c r="S33" s="9">
        <f t="shared" si="8"/>
        <v>42583</v>
      </c>
      <c r="T33">
        <v>4343329.4003906297</v>
      </c>
      <c r="U33">
        <v>4479787.6699218797</v>
      </c>
      <c r="V33">
        <f t="shared" si="9"/>
        <v>-3.1417895570844165</v>
      </c>
      <c r="W33">
        <v>123621</v>
      </c>
      <c r="X33">
        <v>36.238079856350296</v>
      </c>
      <c r="Y33">
        <v>35.134236095733101</v>
      </c>
    </row>
    <row r="34" spans="1:25" x14ac:dyDescent="0.25">
      <c r="A34" s="3">
        <v>41670</v>
      </c>
      <c r="B34" s="3" t="str">
        <f t="shared" si="0"/>
        <v>Jan</v>
      </c>
      <c r="C34" s="3" t="str">
        <f t="shared" si="1"/>
        <v>2014</v>
      </c>
      <c r="D34" s="3" t="str">
        <f t="shared" si="2"/>
        <v>Friday</v>
      </c>
      <c r="E34">
        <v>137693.87349999999</v>
      </c>
      <c r="F34">
        <v>135609.50760000001</v>
      </c>
      <c r="G34">
        <v>4030</v>
      </c>
      <c r="H34" s="1">
        <f t="shared" si="3"/>
        <v>34.167214267990069</v>
      </c>
      <c r="I34" s="1" t="str">
        <f t="shared" si="4"/>
        <v>Low</v>
      </c>
      <c r="J34">
        <f t="shared" si="5"/>
        <v>1.5137680762535708</v>
      </c>
      <c r="K34">
        <f t="shared" si="6"/>
        <v>33.650001885856085</v>
      </c>
      <c r="L34">
        <f t="shared" si="7"/>
        <v>1.5137680762535561</v>
      </c>
      <c r="P34">
        <v>2016</v>
      </c>
      <c r="Q34">
        <v>9</v>
      </c>
      <c r="R34" s="9" t="s">
        <v>50</v>
      </c>
      <c r="S34" s="9">
        <f t="shared" si="8"/>
        <v>42614</v>
      </c>
      <c r="T34">
        <v>3259542.515625</v>
      </c>
      <c r="U34">
        <v>3210197.296875</v>
      </c>
      <c r="V34">
        <f t="shared" si="9"/>
        <v>1.5138694621548239</v>
      </c>
      <c r="W34">
        <v>88672</v>
      </c>
      <c r="X34">
        <v>36.203055044151476</v>
      </c>
      <c r="Y34">
        <v>36.7595465944718</v>
      </c>
    </row>
    <row r="35" spans="1:25" x14ac:dyDescent="0.25">
      <c r="A35" s="3">
        <v>41671</v>
      </c>
      <c r="B35" s="3" t="str">
        <f t="shared" si="0"/>
        <v>Feb</v>
      </c>
      <c r="C35" s="3" t="str">
        <f t="shared" si="1"/>
        <v>2014</v>
      </c>
      <c r="D35" s="3" t="str">
        <f t="shared" si="2"/>
        <v>Saturday</v>
      </c>
      <c r="E35">
        <v>181209.12849999999</v>
      </c>
      <c r="F35">
        <v>178435.71530000001</v>
      </c>
      <c r="G35">
        <v>5304</v>
      </c>
      <c r="H35" s="1">
        <f t="shared" si="3"/>
        <v>34.164616987179485</v>
      </c>
      <c r="I35" s="1" t="str">
        <f t="shared" si="4"/>
        <v>Low</v>
      </c>
      <c r="J35">
        <f t="shared" si="5"/>
        <v>1.5305041324118398</v>
      </c>
      <c r="K35">
        <f t="shared" si="6"/>
        <v>33.641726112368026</v>
      </c>
      <c r="L35">
        <f t="shared" si="7"/>
        <v>1.5305041324118389</v>
      </c>
      <c r="P35">
        <v>2016</v>
      </c>
      <c r="Q35">
        <v>10</v>
      </c>
      <c r="R35" s="9" t="s">
        <v>51</v>
      </c>
      <c r="S35" s="9">
        <f t="shared" si="8"/>
        <v>42644</v>
      </c>
      <c r="T35">
        <v>2329172.7050781301</v>
      </c>
      <c r="U35">
        <v>2109211.0839843801</v>
      </c>
      <c r="V35">
        <f t="shared" si="9"/>
        <v>9.4437660468106674</v>
      </c>
      <c r="W35">
        <v>56667</v>
      </c>
      <c r="X35">
        <v>37.221153122353044</v>
      </c>
      <c r="Y35">
        <v>41.102805955461299</v>
      </c>
    </row>
    <row r="36" spans="1:25" x14ac:dyDescent="0.25">
      <c r="A36" s="3">
        <v>41672</v>
      </c>
      <c r="B36" s="3" t="str">
        <f t="shared" si="0"/>
        <v>Feb</v>
      </c>
      <c r="C36" s="3" t="str">
        <f t="shared" si="1"/>
        <v>2014</v>
      </c>
      <c r="D36" s="3" t="str">
        <f t="shared" si="2"/>
        <v>Sunday</v>
      </c>
      <c r="E36">
        <v>113433.58100000001</v>
      </c>
      <c r="F36">
        <v>111466.5168</v>
      </c>
      <c r="G36">
        <v>3320</v>
      </c>
      <c r="H36" s="1">
        <f t="shared" si="3"/>
        <v>34.166741265060246</v>
      </c>
      <c r="I36" s="1" t="str">
        <f t="shared" si="4"/>
        <v>Low</v>
      </c>
      <c r="J36">
        <f t="shared" si="5"/>
        <v>1.7341109948737383</v>
      </c>
      <c r="K36">
        <f t="shared" si="6"/>
        <v>33.574252048192768</v>
      </c>
      <c r="L36">
        <f t="shared" si="7"/>
        <v>1.734110994873753</v>
      </c>
      <c r="P36">
        <v>2016</v>
      </c>
      <c r="Q36">
        <v>11</v>
      </c>
      <c r="R36" s="9" t="s">
        <v>52</v>
      </c>
      <c r="S36" s="9">
        <f t="shared" si="8"/>
        <v>42675</v>
      </c>
      <c r="T36">
        <v>1851029.859375</v>
      </c>
      <c r="U36">
        <v>1724472.875</v>
      </c>
      <c r="V36">
        <f t="shared" si="9"/>
        <v>6.8371119857424638</v>
      </c>
      <c r="W36">
        <v>43107</v>
      </c>
      <c r="X36">
        <v>40.004474331315102</v>
      </c>
      <c r="Y36">
        <v>42.9403544522931</v>
      </c>
    </row>
    <row r="37" spans="1:25" x14ac:dyDescent="0.25">
      <c r="A37" s="3">
        <v>41673</v>
      </c>
      <c r="B37" s="3" t="str">
        <f t="shared" si="0"/>
        <v>Feb</v>
      </c>
      <c r="C37" s="3" t="str">
        <f t="shared" si="1"/>
        <v>2014</v>
      </c>
      <c r="D37" s="3" t="str">
        <f t="shared" si="2"/>
        <v>Monday</v>
      </c>
      <c r="E37">
        <v>143192.53339999999</v>
      </c>
      <c r="F37">
        <v>140505.6347</v>
      </c>
      <c r="G37">
        <v>4191</v>
      </c>
      <c r="H37" s="1">
        <f t="shared" si="3"/>
        <v>34.166674636125023</v>
      </c>
      <c r="I37" s="1" t="str">
        <f t="shared" si="4"/>
        <v>Low</v>
      </c>
      <c r="J37">
        <f t="shared" si="5"/>
        <v>1.8764237465471023</v>
      </c>
      <c r="K37">
        <f t="shared" si="6"/>
        <v>33.525563039847292</v>
      </c>
      <c r="L37">
        <f t="shared" si="7"/>
        <v>1.8764237465470905</v>
      </c>
    </row>
    <row r="38" spans="1:25" x14ac:dyDescent="0.25">
      <c r="A38" s="3">
        <v>41674</v>
      </c>
      <c r="B38" s="3" t="str">
        <f t="shared" si="0"/>
        <v>Feb</v>
      </c>
      <c r="C38" s="3" t="str">
        <f t="shared" si="1"/>
        <v>2014</v>
      </c>
      <c r="D38" s="3" t="str">
        <f t="shared" si="2"/>
        <v>Tuesday</v>
      </c>
      <c r="E38">
        <v>130126.6499</v>
      </c>
      <c r="F38">
        <v>128496.2877</v>
      </c>
      <c r="G38">
        <v>3809</v>
      </c>
      <c r="H38" s="1">
        <f t="shared" si="3"/>
        <v>34.16294300341297</v>
      </c>
      <c r="I38" s="1" t="str">
        <f t="shared" si="4"/>
        <v>Low</v>
      </c>
      <c r="J38">
        <f t="shared" si="5"/>
        <v>1.2529041524183611</v>
      </c>
      <c r="K38">
        <f t="shared" si="6"/>
        <v>33.734914071934888</v>
      </c>
      <c r="L38">
        <f t="shared" si="7"/>
        <v>1.2529041524183686</v>
      </c>
    </row>
    <row r="39" spans="1:25" x14ac:dyDescent="0.25">
      <c r="A39" s="3">
        <v>41675</v>
      </c>
      <c r="B39" s="3" t="str">
        <f t="shared" si="0"/>
        <v>Feb</v>
      </c>
      <c r="C39" s="3" t="str">
        <f t="shared" si="1"/>
        <v>2014</v>
      </c>
      <c r="D39" s="3" t="str">
        <f t="shared" si="2"/>
        <v>Wednesday</v>
      </c>
      <c r="E39">
        <v>187155.86850000001</v>
      </c>
      <c r="F39">
        <v>195078.60329999999</v>
      </c>
      <c r="G39">
        <v>5764</v>
      </c>
      <c r="H39" s="1">
        <f t="shared" si="3"/>
        <v>32.469789816099933</v>
      </c>
      <c r="I39" s="1" t="str">
        <f t="shared" si="4"/>
        <v>Low</v>
      </c>
      <c r="J39">
        <f t="shared" si="5"/>
        <v>-4.2332280913755991</v>
      </c>
      <c r="K39">
        <f t="shared" si="6"/>
        <v>33.844310079805688</v>
      </c>
      <c r="L39">
        <f t="shared" si="7"/>
        <v>-4.2332280913755955</v>
      </c>
    </row>
    <row r="40" spans="1:25" x14ac:dyDescent="0.25">
      <c r="A40" s="3">
        <v>41676</v>
      </c>
      <c r="B40" s="3" t="str">
        <f t="shared" si="0"/>
        <v>Feb</v>
      </c>
      <c r="C40" s="3" t="str">
        <f t="shared" si="1"/>
        <v>2014</v>
      </c>
      <c r="D40" s="3" t="str">
        <f t="shared" si="2"/>
        <v>Thursday</v>
      </c>
      <c r="E40">
        <v>102314.7096</v>
      </c>
      <c r="F40">
        <v>101977.99</v>
      </c>
      <c r="G40">
        <v>3028</v>
      </c>
      <c r="H40" s="1">
        <f t="shared" si="3"/>
        <v>33.789534214002643</v>
      </c>
      <c r="I40" s="1" t="str">
        <f t="shared" si="4"/>
        <v>Low</v>
      </c>
      <c r="J40">
        <f t="shared" si="5"/>
        <v>0.32910184793213421</v>
      </c>
      <c r="K40">
        <f t="shared" si="6"/>
        <v>33.6783322324967</v>
      </c>
      <c r="L40">
        <f t="shared" si="7"/>
        <v>0.32910184793213182</v>
      </c>
    </row>
    <row r="41" spans="1:25" x14ac:dyDescent="0.25">
      <c r="A41" s="3">
        <v>41677</v>
      </c>
      <c r="B41" s="3" t="str">
        <f t="shared" si="0"/>
        <v>Feb</v>
      </c>
      <c r="C41" s="3" t="str">
        <f t="shared" si="1"/>
        <v>2014</v>
      </c>
      <c r="D41" s="3" t="str">
        <f t="shared" si="2"/>
        <v>Friday</v>
      </c>
      <c r="E41">
        <v>301553.84259999997</v>
      </c>
      <c r="F41">
        <v>313529.18770000001</v>
      </c>
      <c r="G41">
        <v>9284</v>
      </c>
      <c r="H41" s="1">
        <f t="shared" si="3"/>
        <v>32.481025700129251</v>
      </c>
      <c r="I41" s="1" t="str">
        <f t="shared" si="4"/>
        <v>Low</v>
      </c>
      <c r="J41">
        <f t="shared" si="5"/>
        <v>-3.9712129007372283</v>
      </c>
      <c r="K41">
        <f t="shared" si="6"/>
        <v>33.770916383024563</v>
      </c>
      <c r="L41">
        <f t="shared" si="7"/>
        <v>-3.9712129007372412</v>
      </c>
    </row>
    <row r="42" spans="1:25" x14ac:dyDescent="0.25">
      <c r="A42" s="3">
        <v>41678</v>
      </c>
      <c r="B42" s="3" t="str">
        <f t="shared" si="0"/>
        <v>Feb</v>
      </c>
      <c r="C42" s="3" t="str">
        <f t="shared" si="1"/>
        <v>2014</v>
      </c>
      <c r="D42" s="3" t="str">
        <f t="shared" si="2"/>
        <v>Saturday</v>
      </c>
      <c r="E42">
        <v>316073.17749999999</v>
      </c>
      <c r="F42">
        <v>329754.7795</v>
      </c>
      <c r="G42">
        <v>9737</v>
      </c>
      <c r="H42" s="1">
        <f t="shared" si="3"/>
        <v>32.461043185786174</v>
      </c>
      <c r="I42" s="1" t="str">
        <f t="shared" si="4"/>
        <v>Low</v>
      </c>
      <c r="J42">
        <f t="shared" si="5"/>
        <v>-4.3286184889889983</v>
      </c>
      <c r="K42">
        <f t="shared" si="6"/>
        <v>33.866157902844819</v>
      </c>
      <c r="L42">
        <f t="shared" si="7"/>
        <v>-4.3286184889890018</v>
      </c>
    </row>
    <row r="43" spans="1:25" x14ac:dyDescent="0.25">
      <c r="A43" s="3">
        <v>41679</v>
      </c>
      <c r="B43" s="3" t="str">
        <f t="shared" si="0"/>
        <v>Feb</v>
      </c>
      <c r="C43" s="3" t="str">
        <f t="shared" si="1"/>
        <v>2014</v>
      </c>
      <c r="D43" s="3" t="str">
        <f t="shared" si="2"/>
        <v>Sunday</v>
      </c>
      <c r="E43">
        <v>135178.04259999999</v>
      </c>
      <c r="F43">
        <v>141530.70869999999</v>
      </c>
      <c r="G43">
        <v>4163</v>
      </c>
      <c r="H43" s="1">
        <f t="shared" si="3"/>
        <v>32.471304972375684</v>
      </c>
      <c r="I43" s="1" t="str">
        <f t="shared" si="4"/>
        <v>Low</v>
      </c>
      <c r="J43">
        <f t="shared" si="5"/>
        <v>-4.6994807572394919</v>
      </c>
      <c r="K43">
        <f t="shared" si="6"/>
        <v>33.997287701177036</v>
      </c>
      <c r="L43">
        <f t="shared" si="7"/>
        <v>-4.6994807572395132</v>
      </c>
    </row>
    <row r="44" spans="1:25" x14ac:dyDescent="0.25">
      <c r="A44" s="3">
        <v>41680</v>
      </c>
      <c r="B44" s="3" t="str">
        <f t="shared" si="0"/>
        <v>Feb</v>
      </c>
      <c r="C44" s="3" t="str">
        <f t="shared" si="1"/>
        <v>2014</v>
      </c>
      <c r="D44" s="3" t="str">
        <f t="shared" si="2"/>
        <v>Monday</v>
      </c>
      <c r="E44">
        <v>147727.51620000001</v>
      </c>
      <c r="F44">
        <v>154828.68460000001</v>
      </c>
      <c r="G44">
        <v>4552</v>
      </c>
      <c r="H44" s="1">
        <f t="shared" si="3"/>
        <v>32.453320782073817</v>
      </c>
      <c r="I44" s="1" t="str">
        <f t="shared" si="4"/>
        <v>Low</v>
      </c>
      <c r="J44">
        <f t="shared" si="5"/>
        <v>-4.8069368406533828</v>
      </c>
      <c r="K44">
        <f t="shared" si="6"/>
        <v>34.013331414762746</v>
      </c>
      <c r="L44">
        <f t="shared" si="7"/>
        <v>-4.806936840653389</v>
      </c>
    </row>
    <row r="45" spans="1:25" x14ac:dyDescent="0.25">
      <c r="A45" s="3">
        <v>41681</v>
      </c>
      <c r="B45" s="3" t="str">
        <f t="shared" si="0"/>
        <v>Feb</v>
      </c>
      <c r="C45" s="3" t="str">
        <f t="shared" si="1"/>
        <v>2014</v>
      </c>
      <c r="D45" s="3" t="str">
        <f t="shared" si="2"/>
        <v>Tuesday</v>
      </c>
      <c r="E45">
        <v>135498.7464</v>
      </c>
      <c r="F45">
        <v>139824.16159999999</v>
      </c>
      <c r="G45">
        <v>4172</v>
      </c>
      <c r="H45" s="1">
        <f t="shared" si="3"/>
        <v>32.478127133269417</v>
      </c>
      <c r="I45" s="1" t="str">
        <f t="shared" si="4"/>
        <v>Low</v>
      </c>
      <c r="J45">
        <f t="shared" si="5"/>
        <v>-3.1922178727994401</v>
      </c>
      <c r="K45">
        <f t="shared" si="6"/>
        <v>33.51489971236817</v>
      </c>
      <c r="L45">
        <f t="shared" si="7"/>
        <v>-3.1922178727994446</v>
      </c>
    </row>
    <row r="46" spans="1:25" x14ac:dyDescent="0.25">
      <c r="A46" s="3">
        <v>41682</v>
      </c>
      <c r="B46" s="3" t="str">
        <f t="shared" si="0"/>
        <v>Feb</v>
      </c>
      <c r="C46" s="3" t="str">
        <f t="shared" si="1"/>
        <v>2014</v>
      </c>
      <c r="D46" s="3" t="str">
        <f t="shared" si="2"/>
        <v>Wednesday</v>
      </c>
      <c r="E46">
        <v>163432.84520000001</v>
      </c>
      <c r="F46">
        <v>166893.3689</v>
      </c>
      <c r="G46">
        <v>5037</v>
      </c>
      <c r="H46" s="1">
        <f t="shared" si="3"/>
        <v>32.446465197538217</v>
      </c>
      <c r="I46" s="1" t="str">
        <f t="shared" si="4"/>
        <v>Low</v>
      </c>
      <c r="J46">
        <f t="shared" si="5"/>
        <v>-2.1173979415001889</v>
      </c>
      <c r="K46">
        <f t="shared" si="6"/>
        <v>33.133485983720469</v>
      </c>
      <c r="L46">
        <f t="shared" si="7"/>
        <v>-2.1173979415001973</v>
      </c>
    </row>
    <row r="47" spans="1:25" x14ac:dyDescent="0.25">
      <c r="A47" s="3">
        <v>41683</v>
      </c>
      <c r="B47" s="3" t="str">
        <f t="shared" si="0"/>
        <v>Feb</v>
      </c>
      <c r="C47" s="3" t="str">
        <f t="shared" si="1"/>
        <v>2014</v>
      </c>
      <c r="D47" s="3" t="str">
        <f t="shared" si="2"/>
        <v>Thursday</v>
      </c>
      <c r="E47">
        <v>138291.63329999999</v>
      </c>
      <c r="F47">
        <v>141027.4345</v>
      </c>
      <c r="G47">
        <v>4259</v>
      </c>
      <c r="H47" s="1">
        <f t="shared" si="3"/>
        <v>32.470446888941062</v>
      </c>
      <c r="I47" s="1" t="str">
        <f t="shared" si="4"/>
        <v>Low</v>
      </c>
      <c r="J47">
        <f t="shared" si="5"/>
        <v>-1.9782839602922069</v>
      </c>
      <c r="K47">
        <f t="shared" si="6"/>
        <v>33.112804531580181</v>
      </c>
      <c r="L47">
        <f t="shared" si="7"/>
        <v>-1.9782839602922018</v>
      </c>
    </row>
    <row r="48" spans="1:25" x14ac:dyDescent="0.25">
      <c r="A48" s="3">
        <v>41684</v>
      </c>
      <c r="B48" s="3" t="str">
        <f t="shared" si="0"/>
        <v>Feb</v>
      </c>
      <c r="C48" s="3" t="str">
        <f t="shared" si="1"/>
        <v>2014</v>
      </c>
      <c r="D48" s="3" t="str">
        <f t="shared" si="2"/>
        <v>Friday</v>
      </c>
      <c r="E48">
        <v>336901.37170000002</v>
      </c>
      <c r="F48">
        <v>343519.87550000002</v>
      </c>
      <c r="G48">
        <v>10381</v>
      </c>
      <c r="H48" s="1">
        <f t="shared" si="3"/>
        <v>32.453652991041331</v>
      </c>
      <c r="I48" s="1" t="str">
        <f t="shared" si="4"/>
        <v>Low</v>
      </c>
      <c r="J48">
        <f t="shared" si="5"/>
        <v>-1.9645226632955277</v>
      </c>
      <c r="K48">
        <f t="shared" si="6"/>
        <v>33.09121235911762</v>
      </c>
      <c r="L48">
        <f t="shared" si="7"/>
        <v>-1.9645226632955128</v>
      </c>
    </row>
    <row r="49" spans="1:12" x14ac:dyDescent="0.25">
      <c r="A49" s="3">
        <v>41685</v>
      </c>
      <c r="B49" s="3" t="str">
        <f t="shared" si="0"/>
        <v>Feb</v>
      </c>
      <c r="C49" s="3" t="str">
        <f t="shared" si="1"/>
        <v>2014</v>
      </c>
      <c r="D49" s="3" t="str">
        <f t="shared" si="2"/>
        <v>Saturday</v>
      </c>
      <c r="E49">
        <v>367729.26819999999</v>
      </c>
      <c r="F49">
        <v>373973.59330000001</v>
      </c>
      <c r="G49">
        <v>11332</v>
      </c>
      <c r="H49" s="1">
        <f t="shared" si="3"/>
        <v>32.450517843275676</v>
      </c>
      <c r="I49" s="1" t="str">
        <f t="shared" si="4"/>
        <v>Low</v>
      </c>
      <c r="J49">
        <f t="shared" si="5"/>
        <v>-1.6980767211066439</v>
      </c>
      <c r="K49">
        <f t="shared" si="6"/>
        <v>33.001552532650898</v>
      </c>
      <c r="L49">
        <f t="shared" si="7"/>
        <v>-1.6980767211066419</v>
      </c>
    </row>
    <row r="50" spans="1:12" x14ac:dyDescent="0.25">
      <c r="A50" s="3">
        <v>41686</v>
      </c>
      <c r="B50" s="3" t="str">
        <f t="shared" si="0"/>
        <v>Feb</v>
      </c>
      <c r="C50" s="3" t="str">
        <f t="shared" si="1"/>
        <v>2014</v>
      </c>
      <c r="D50" s="3" t="str">
        <f t="shared" si="2"/>
        <v>Sunday</v>
      </c>
      <c r="E50">
        <v>133913.8414</v>
      </c>
      <c r="F50">
        <v>136797.07740000001</v>
      </c>
      <c r="G50">
        <v>4127</v>
      </c>
      <c r="H50" s="1">
        <f t="shared" si="3"/>
        <v>32.448229076811245</v>
      </c>
      <c r="I50" s="1" t="str">
        <f t="shared" si="4"/>
        <v>Low</v>
      </c>
      <c r="J50">
        <f t="shared" si="5"/>
        <v>-2.1530530151754759</v>
      </c>
      <c r="K50">
        <f t="shared" si="6"/>
        <v>33.146856651320576</v>
      </c>
      <c r="L50">
        <f t="shared" si="7"/>
        <v>-2.1530530151754785</v>
      </c>
    </row>
    <row r="51" spans="1:12" x14ac:dyDescent="0.25">
      <c r="A51" s="3">
        <v>41687</v>
      </c>
      <c r="B51" s="3" t="str">
        <f t="shared" si="0"/>
        <v>Feb</v>
      </c>
      <c r="C51" s="3" t="str">
        <f t="shared" si="1"/>
        <v>2014</v>
      </c>
      <c r="D51" s="3" t="str">
        <f t="shared" si="2"/>
        <v>Monday</v>
      </c>
      <c r="E51">
        <v>150800.34700000001</v>
      </c>
      <c r="F51">
        <v>152887.10639999999</v>
      </c>
      <c r="G51">
        <v>4649</v>
      </c>
      <c r="H51" s="1">
        <f t="shared" si="3"/>
        <v>32.437157883415793</v>
      </c>
      <c r="I51" s="1" t="str">
        <f t="shared" si="4"/>
        <v>Low</v>
      </c>
      <c r="J51">
        <f t="shared" si="5"/>
        <v>-1.3837895213861682</v>
      </c>
      <c r="K51">
        <f t="shared" si="6"/>
        <v>32.886019875241985</v>
      </c>
      <c r="L51">
        <f t="shared" si="7"/>
        <v>-1.383789521386158</v>
      </c>
    </row>
    <row r="52" spans="1:12" x14ac:dyDescent="0.25">
      <c r="A52" s="3">
        <v>41688</v>
      </c>
      <c r="B52" s="3" t="str">
        <f t="shared" si="0"/>
        <v>Feb</v>
      </c>
      <c r="C52" s="3" t="str">
        <f t="shared" si="1"/>
        <v>2014</v>
      </c>
      <c r="D52" s="3" t="str">
        <f t="shared" si="2"/>
        <v>Tuesday</v>
      </c>
      <c r="E52">
        <v>55591.930339999999</v>
      </c>
      <c r="F52">
        <v>53463.244209999997</v>
      </c>
      <c r="G52">
        <v>1627</v>
      </c>
      <c r="H52" s="1">
        <f t="shared" si="3"/>
        <v>34.168365298094649</v>
      </c>
      <c r="I52" s="1" t="str">
        <f t="shared" si="4"/>
        <v>Low</v>
      </c>
      <c r="J52">
        <f t="shared" si="5"/>
        <v>3.8291279273465895</v>
      </c>
      <c r="K52">
        <f t="shared" si="6"/>
        <v>32.86001488014751</v>
      </c>
      <c r="L52">
        <f t="shared" si="7"/>
        <v>3.8291279273465784</v>
      </c>
    </row>
    <row r="53" spans="1:12" x14ac:dyDescent="0.25">
      <c r="A53" s="3">
        <v>41689</v>
      </c>
      <c r="B53" s="3" t="str">
        <f t="shared" si="0"/>
        <v>Feb</v>
      </c>
      <c r="C53" s="3" t="str">
        <f t="shared" si="1"/>
        <v>2014</v>
      </c>
      <c r="D53" s="3" t="str">
        <f t="shared" si="2"/>
        <v>Wednesday</v>
      </c>
      <c r="E53">
        <v>106427.1918</v>
      </c>
      <c r="F53">
        <v>107736.44409999999</v>
      </c>
      <c r="G53">
        <v>3281</v>
      </c>
      <c r="H53" s="1">
        <f t="shared" si="3"/>
        <v>32.43742511429442</v>
      </c>
      <c r="I53" s="1" t="str">
        <f t="shared" si="4"/>
        <v>Low</v>
      </c>
      <c r="J53">
        <f t="shared" si="5"/>
        <v>-1.2301858931506571</v>
      </c>
      <c r="K53">
        <f t="shared" si="6"/>
        <v>32.83646574215178</v>
      </c>
      <c r="L53">
        <f t="shared" si="7"/>
        <v>-1.2301858931506626</v>
      </c>
    </row>
    <row r="54" spans="1:12" x14ac:dyDescent="0.25">
      <c r="A54" s="3">
        <v>41690</v>
      </c>
      <c r="B54" s="3" t="str">
        <f t="shared" si="0"/>
        <v>Feb</v>
      </c>
      <c r="C54" s="3" t="str">
        <f t="shared" si="1"/>
        <v>2014</v>
      </c>
      <c r="D54" s="3" t="str">
        <f t="shared" si="2"/>
        <v>Thursday</v>
      </c>
      <c r="E54">
        <v>78940.55442</v>
      </c>
      <c r="F54">
        <v>75934.394820000001</v>
      </c>
      <c r="G54">
        <v>2310</v>
      </c>
      <c r="H54" s="1">
        <f t="shared" si="3"/>
        <v>34.173400181818181</v>
      </c>
      <c r="I54" s="1" t="str">
        <f t="shared" si="4"/>
        <v>Low</v>
      </c>
      <c r="J54">
        <f t="shared" si="5"/>
        <v>3.8081308423625324</v>
      </c>
      <c r="K54">
        <f t="shared" si="6"/>
        <v>32.872032389610389</v>
      </c>
      <c r="L54">
        <f t="shared" si="7"/>
        <v>3.8081308423625324</v>
      </c>
    </row>
    <row r="55" spans="1:12" x14ac:dyDescent="0.25">
      <c r="A55" s="3">
        <v>41691</v>
      </c>
      <c r="B55" s="3" t="str">
        <f t="shared" si="0"/>
        <v>Feb</v>
      </c>
      <c r="C55" s="3" t="str">
        <f t="shared" si="1"/>
        <v>2014</v>
      </c>
      <c r="D55" s="3" t="str">
        <f t="shared" si="2"/>
        <v>Friday</v>
      </c>
      <c r="E55">
        <v>317916.31790000002</v>
      </c>
      <c r="F55">
        <v>322089.78899999999</v>
      </c>
      <c r="G55">
        <v>9802</v>
      </c>
      <c r="H55" s="1">
        <f t="shared" si="3"/>
        <v>32.433821454805141</v>
      </c>
      <c r="I55" s="1" t="str">
        <f t="shared" si="4"/>
        <v>Low</v>
      </c>
      <c r="J55">
        <f t="shared" si="5"/>
        <v>-1.3127577494505092</v>
      </c>
      <c r="K55">
        <f t="shared" si="6"/>
        <v>32.859598959396038</v>
      </c>
      <c r="L55">
        <f t="shared" si="7"/>
        <v>-1.3127577494505116</v>
      </c>
    </row>
    <row r="56" spans="1:12" x14ac:dyDescent="0.25">
      <c r="A56" s="3">
        <v>41692</v>
      </c>
      <c r="B56" s="3" t="str">
        <f t="shared" si="0"/>
        <v>Feb</v>
      </c>
      <c r="C56" s="3" t="str">
        <f t="shared" si="1"/>
        <v>2014</v>
      </c>
      <c r="D56" s="3" t="str">
        <f t="shared" si="2"/>
        <v>Saturday</v>
      </c>
      <c r="E56">
        <v>309217.87560000003</v>
      </c>
      <c r="F56">
        <v>320116.92430000001</v>
      </c>
      <c r="G56">
        <v>9772</v>
      </c>
      <c r="H56" s="1">
        <f t="shared" si="3"/>
        <v>31.643253745395008</v>
      </c>
      <c r="I56" s="1" t="str">
        <f t="shared" si="4"/>
        <v>Low</v>
      </c>
      <c r="J56">
        <f t="shared" si="5"/>
        <v>-3.5247149534455904</v>
      </c>
      <c r="K56">
        <f t="shared" si="6"/>
        <v>32.758588241915682</v>
      </c>
      <c r="L56">
        <f t="shared" si="7"/>
        <v>-3.5247149534456046</v>
      </c>
    </row>
    <row r="57" spans="1:12" x14ac:dyDescent="0.25">
      <c r="A57" s="3">
        <v>41693</v>
      </c>
      <c r="B57" s="3" t="str">
        <f t="shared" si="0"/>
        <v>Feb</v>
      </c>
      <c r="C57" s="3" t="str">
        <f t="shared" si="1"/>
        <v>2014</v>
      </c>
      <c r="D57" s="3" t="str">
        <f t="shared" si="2"/>
        <v>Sunday</v>
      </c>
      <c r="E57">
        <v>138491.54999999999</v>
      </c>
      <c r="F57">
        <v>140752.60159999999</v>
      </c>
      <c r="G57">
        <v>4270</v>
      </c>
      <c r="H57" s="1">
        <f t="shared" si="3"/>
        <v>32.433618266978918</v>
      </c>
      <c r="I57" s="1" t="str">
        <f t="shared" si="4"/>
        <v>Low</v>
      </c>
      <c r="J57">
        <f t="shared" si="5"/>
        <v>-1.6326278390270066</v>
      </c>
      <c r="K57">
        <f t="shared" si="6"/>
        <v>32.963138548009368</v>
      </c>
      <c r="L57">
        <f t="shared" si="7"/>
        <v>-1.6326278390270184</v>
      </c>
    </row>
    <row r="58" spans="1:12" x14ac:dyDescent="0.25">
      <c r="A58" s="3">
        <v>41694</v>
      </c>
      <c r="B58" s="3" t="str">
        <f t="shared" si="0"/>
        <v>Feb</v>
      </c>
      <c r="C58" s="3" t="str">
        <f t="shared" si="1"/>
        <v>2014</v>
      </c>
      <c r="D58" s="3" t="str">
        <f t="shared" si="2"/>
        <v>Monday</v>
      </c>
      <c r="E58">
        <v>133146.22219999999</v>
      </c>
      <c r="F58">
        <v>134505.40419999999</v>
      </c>
      <c r="G58">
        <v>4106</v>
      </c>
      <c r="H58" s="1">
        <f t="shared" si="3"/>
        <v>32.427233852898198</v>
      </c>
      <c r="I58" s="1" t="str">
        <f t="shared" si="4"/>
        <v>Low</v>
      </c>
      <c r="J58">
        <f t="shared" si="5"/>
        <v>-1.0208190495697</v>
      </c>
      <c r="K58">
        <f t="shared" si="6"/>
        <v>32.758257233317096</v>
      </c>
      <c r="L58">
        <f t="shared" si="7"/>
        <v>-1.0208190495696963</v>
      </c>
    </row>
    <row r="59" spans="1:12" x14ac:dyDescent="0.25">
      <c r="A59" s="3">
        <v>41695</v>
      </c>
      <c r="B59" s="3" t="str">
        <f t="shared" si="0"/>
        <v>Feb</v>
      </c>
      <c r="C59" s="3" t="str">
        <f t="shared" si="1"/>
        <v>2014</v>
      </c>
      <c r="D59" s="3" t="str">
        <f t="shared" si="2"/>
        <v>Tuesday</v>
      </c>
      <c r="E59">
        <v>224994.6562</v>
      </c>
      <c r="F59">
        <v>227546.4466</v>
      </c>
      <c r="G59">
        <v>6937</v>
      </c>
      <c r="H59" s="1">
        <f t="shared" si="3"/>
        <v>32.433999740521841</v>
      </c>
      <c r="I59" s="1" t="str">
        <f t="shared" si="4"/>
        <v>Low</v>
      </c>
      <c r="J59">
        <f t="shared" si="5"/>
        <v>-1.1341560031237747</v>
      </c>
      <c r="K59">
        <f t="shared" si="6"/>
        <v>32.801851895632119</v>
      </c>
      <c r="L59">
        <f t="shared" si="7"/>
        <v>-1.1341560031237736</v>
      </c>
    </row>
    <row r="60" spans="1:12" x14ac:dyDescent="0.25">
      <c r="A60" s="3">
        <v>41696</v>
      </c>
      <c r="B60" s="3" t="str">
        <f t="shared" si="0"/>
        <v>Feb</v>
      </c>
      <c r="C60" s="3" t="str">
        <f t="shared" si="1"/>
        <v>2014</v>
      </c>
      <c r="D60" s="3" t="str">
        <f t="shared" si="2"/>
        <v>Wednesday</v>
      </c>
      <c r="E60">
        <v>225051.59150000001</v>
      </c>
      <c r="F60">
        <v>228214.1421</v>
      </c>
      <c r="G60">
        <v>6934</v>
      </c>
      <c r="H60" s="1">
        <f t="shared" si="3"/>
        <v>32.456243366022498</v>
      </c>
      <c r="I60" s="1" t="str">
        <f t="shared" si="4"/>
        <v>Low</v>
      </c>
      <c r="J60">
        <f t="shared" si="5"/>
        <v>-1.4052558255292267</v>
      </c>
      <c r="K60">
        <f t="shared" si="6"/>
        <v>32.912336616671475</v>
      </c>
      <c r="L60">
        <f t="shared" si="7"/>
        <v>-1.4052558255292329</v>
      </c>
    </row>
    <row r="61" spans="1:12" x14ac:dyDescent="0.25">
      <c r="A61" s="3">
        <v>41697</v>
      </c>
      <c r="B61" s="3" t="str">
        <f t="shared" si="0"/>
        <v>Feb</v>
      </c>
      <c r="C61" s="3" t="str">
        <f t="shared" si="1"/>
        <v>2014</v>
      </c>
      <c r="D61" s="3" t="str">
        <f t="shared" si="2"/>
        <v>Thursday</v>
      </c>
      <c r="E61">
        <v>344299.68239999999</v>
      </c>
      <c r="F61">
        <v>365935.65299999999</v>
      </c>
      <c r="G61">
        <v>11082</v>
      </c>
      <c r="H61" s="1">
        <f t="shared" si="3"/>
        <v>31.0683705468327</v>
      </c>
      <c r="I61" s="1" t="str">
        <f t="shared" si="4"/>
        <v>Low</v>
      </c>
      <c r="J61">
        <f t="shared" si="5"/>
        <v>-6.284051861210779</v>
      </c>
      <c r="K61">
        <f t="shared" si="6"/>
        <v>33.0207230644288</v>
      </c>
      <c r="L61">
        <f t="shared" si="7"/>
        <v>-6.2840518612107754</v>
      </c>
    </row>
    <row r="62" spans="1:12" x14ac:dyDescent="0.25">
      <c r="A62" s="3">
        <v>41698</v>
      </c>
      <c r="B62" s="3" t="str">
        <f t="shared" si="0"/>
        <v>Feb</v>
      </c>
      <c r="C62" s="3" t="str">
        <f t="shared" si="1"/>
        <v>2014</v>
      </c>
      <c r="D62" s="3" t="str">
        <f t="shared" si="2"/>
        <v>Friday</v>
      </c>
      <c r="E62">
        <v>661876.5</v>
      </c>
      <c r="F62">
        <v>686656.79099999997</v>
      </c>
      <c r="G62">
        <v>20805</v>
      </c>
      <c r="H62" s="1">
        <f t="shared" si="3"/>
        <v>31.813338139870222</v>
      </c>
      <c r="I62" s="1" t="str">
        <f t="shared" si="4"/>
        <v>Low</v>
      </c>
      <c r="J62">
        <f t="shared" si="5"/>
        <v>-3.7439448295867837</v>
      </c>
      <c r="K62">
        <f t="shared" si="6"/>
        <v>33.004411968276855</v>
      </c>
      <c r="L62">
        <f t="shared" si="7"/>
        <v>-3.7439448295867899</v>
      </c>
    </row>
    <row r="63" spans="1:12" x14ac:dyDescent="0.25">
      <c r="A63" s="3">
        <v>41699</v>
      </c>
      <c r="B63" s="3" t="str">
        <f t="shared" si="0"/>
        <v>Mar</v>
      </c>
      <c r="C63" s="3" t="str">
        <f t="shared" si="1"/>
        <v>2014</v>
      </c>
      <c r="D63" s="3" t="str">
        <f t="shared" si="2"/>
        <v>Saturday</v>
      </c>
      <c r="E63">
        <v>846678.38820000004</v>
      </c>
      <c r="F63">
        <v>872081.58499999996</v>
      </c>
      <c r="G63">
        <v>26410</v>
      </c>
      <c r="H63" s="1">
        <f t="shared" si="3"/>
        <v>32.05900750473306</v>
      </c>
      <c r="I63" s="1" t="str">
        <f t="shared" si="4"/>
        <v>Low</v>
      </c>
      <c r="J63">
        <f t="shared" si="5"/>
        <v>-3.0003360371588039</v>
      </c>
      <c r="K63">
        <f t="shared" si="6"/>
        <v>33.020885460053009</v>
      </c>
      <c r="L63">
        <f t="shared" si="7"/>
        <v>-3.0003360371587959</v>
      </c>
    </row>
    <row r="64" spans="1:12" x14ac:dyDescent="0.25">
      <c r="A64" s="3">
        <v>41700</v>
      </c>
      <c r="B64" s="3" t="str">
        <f t="shared" si="0"/>
        <v>Mar</v>
      </c>
      <c r="C64" s="3" t="str">
        <f t="shared" si="1"/>
        <v>2014</v>
      </c>
      <c r="D64" s="3" t="str">
        <f t="shared" si="2"/>
        <v>Sunday</v>
      </c>
      <c r="E64">
        <v>478902.30489999999</v>
      </c>
      <c r="F64">
        <v>495554.44990000001</v>
      </c>
      <c r="G64">
        <v>15004</v>
      </c>
      <c r="H64" s="1">
        <f t="shared" si="3"/>
        <v>31.918308777659291</v>
      </c>
      <c r="I64" s="1" t="str">
        <f t="shared" si="4"/>
        <v>Low</v>
      </c>
      <c r="J64">
        <f t="shared" si="5"/>
        <v>-3.4771486438089223</v>
      </c>
      <c r="K64">
        <f t="shared" si="6"/>
        <v>33.028155818448411</v>
      </c>
      <c r="L64">
        <f t="shared" si="7"/>
        <v>-3.4771486438089081</v>
      </c>
    </row>
    <row r="65" spans="1:12" x14ac:dyDescent="0.25">
      <c r="A65" s="3">
        <v>41701</v>
      </c>
      <c r="B65" s="3" t="str">
        <f t="shared" si="0"/>
        <v>Mar</v>
      </c>
      <c r="C65" s="3" t="str">
        <f t="shared" si="1"/>
        <v>2014</v>
      </c>
      <c r="D65" s="3" t="str">
        <f t="shared" si="2"/>
        <v>Monday</v>
      </c>
      <c r="E65">
        <v>538827.20209999999</v>
      </c>
      <c r="F65">
        <v>557567.13699999999</v>
      </c>
      <c r="G65">
        <v>16884</v>
      </c>
      <c r="H65" s="1">
        <f t="shared" si="3"/>
        <v>31.913480342335941</v>
      </c>
      <c r="I65" s="1" t="str">
        <f t="shared" si="4"/>
        <v>Low</v>
      </c>
      <c r="J65">
        <f t="shared" si="5"/>
        <v>-3.477911810495804</v>
      </c>
      <c r="K65">
        <f t="shared" si="6"/>
        <v>33.023403044302299</v>
      </c>
      <c r="L65">
        <f t="shared" si="7"/>
        <v>-3.4779118104958027</v>
      </c>
    </row>
    <row r="66" spans="1:12" x14ac:dyDescent="0.25">
      <c r="A66" s="3">
        <v>41702</v>
      </c>
      <c r="B66" s="3" t="str">
        <f t="shared" si="0"/>
        <v>Mar</v>
      </c>
      <c r="C66" s="3" t="str">
        <f t="shared" si="1"/>
        <v>2014</v>
      </c>
      <c r="D66" s="3" t="str">
        <f t="shared" si="2"/>
        <v>Tuesday</v>
      </c>
      <c r="E66">
        <v>310346.1213</v>
      </c>
      <c r="F66">
        <v>323325.02990000002</v>
      </c>
      <c r="G66">
        <v>9789</v>
      </c>
      <c r="H66" s="1">
        <f t="shared" si="3"/>
        <v>31.703557186638061</v>
      </c>
      <c r="I66" s="1" t="str">
        <f t="shared" si="4"/>
        <v>Low</v>
      </c>
      <c r="J66">
        <f t="shared" si="5"/>
        <v>-4.1820753375724644</v>
      </c>
      <c r="K66">
        <f t="shared" si="6"/>
        <v>33.029423832873633</v>
      </c>
      <c r="L66">
        <f t="shared" si="7"/>
        <v>-4.1820753375724591</v>
      </c>
    </row>
    <row r="67" spans="1:12" x14ac:dyDescent="0.25">
      <c r="A67" s="3">
        <v>41703</v>
      </c>
      <c r="B67" s="3" t="str">
        <f t="shared" ref="B67:B130" si="10">TEXT(A67,"mmm")</f>
        <v>Mar</v>
      </c>
      <c r="C67" s="3" t="str">
        <f t="shared" ref="C67:C130" si="11">TEXT(A67,"yyyy")</f>
        <v>2014</v>
      </c>
      <c r="D67" s="3" t="str">
        <f t="shared" ref="D67:D130" si="12">TEXT(A67,"dddd")</f>
        <v>Wednesday</v>
      </c>
      <c r="E67">
        <v>256390.52220000001</v>
      </c>
      <c r="F67">
        <v>267308.50709999999</v>
      </c>
      <c r="G67">
        <v>8079</v>
      </c>
      <c r="H67" s="1">
        <f t="shared" ref="H67:H130" si="13">E67/G67</f>
        <v>31.73542792424805</v>
      </c>
      <c r="I67" s="1" t="str">
        <f t="shared" ref="I67:I130" si="14">IF(H67&lt;PERCENTILE(H67:H1119,0.33),"Low", IF(H67&gt;PERCENTILE(H67:H1119,0.67),"High","Medium"))</f>
        <v>Low</v>
      </c>
      <c r="J67">
        <f t="shared" ref="J67:J130" si="15">(E67-F67)/E67 *100</f>
        <v>-4.2583418475521091</v>
      </c>
      <c r="K67">
        <f t="shared" ref="K67:K130" si="16">F67/G67</f>
        <v>33.086830932046041</v>
      </c>
      <c r="L67">
        <f t="shared" ref="L67:L130" si="17">(H67-K67)/H67 *100</f>
        <v>-4.2583418475521047</v>
      </c>
    </row>
    <row r="68" spans="1:12" x14ac:dyDescent="0.25">
      <c r="A68" s="3">
        <v>41704</v>
      </c>
      <c r="B68" s="3" t="str">
        <f t="shared" si="10"/>
        <v>Mar</v>
      </c>
      <c r="C68" s="3" t="str">
        <f t="shared" si="11"/>
        <v>2014</v>
      </c>
      <c r="D68" s="3" t="str">
        <f t="shared" si="12"/>
        <v>Thursday</v>
      </c>
      <c r="E68">
        <v>167803.65979999999</v>
      </c>
      <c r="F68">
        <v>168135.69</v>
      </c>
      <c r="G68">
        <v>5072</v>
      </c>
      <c r="H68" s="1">
        <f t="shared" si="13"/>
        <v>33.084317783911672</v>
      </c>
      <c r="I68" s="1" t="str">
        <f t="shared" si="14"/>
        <v>Low</v>
      </c>
      <c r="J68">
        <f t="shared" si="15"/>
        <v>-0.19786827080872069</v>
      </c>
      <c r="K68">
        <f t="shared" si="16"/>
        <v>33.14978115141956</v>
      </c>
      <c r="L68">
        <f t="shared" si="17"/>
        <v>-0.19786827080872163</v>
      </c>
    </row>
    <row r="69" spans="1:12" x14ac:dyDescent="0.25">
      <c r="A69" s="3">
        <v>41705</v>
      </c>
      <c r="B69" s="3" t="str">
        <f t="shared" si="10"/>
        <v>Mar</v>
      </c>
      <c r="C69" s="3" t="str">
        <f t="shared" si="11"/>
        <v>2014</v>
      </c>
      <c r="D69" s="3" t="str">
        <f t="shared" si="12"/>
        <v>Friday</v>
      </c>
      <c r="E69">
        <v>465318.02149999997</v>
      </c>
      <c r="F69">
        <v>483774.59669999999</v>
      </c>
      <c r="G69">
        <v>14551</v>
      </c>
      <c r="H69" s="1">
        <f t="shared" si="13"/>
        <v>31.978422204659473</v>
      </c>
      <c r="I69" s="1" t="str">
        <f t="shared" si="14"/>
        <v>Low</v>
      </c>
      <c r="J69">
        <f t="shared" si="15"/>
        <v>-3.9664432382187504</v>
      </c>
      <c r="K69">
        <f t="shared" si="16"/>
        <v>33.246828169885234</v>
      </c>
      <c r="L69">
        <f t="shared" si="17"/>
        <v>-3.966443238218754</v>
      </c>
    </row>
    <row r="70" spans="1:12" x14ac:dyDescent="0.25">
      <c r="A70" s="3">
        <v>41706</v>
      </c>
      <c r="B70" s="3" t="str">
        <f t="shared" si="10"/>
        <v>Mar</v>
      </c>
      <c r="C70" s="3" t="str">
        <f t="shared" si="11"/>
        <v>2014</v>
      </c>
      <c r="D70" s="3" t="str">
        <f t="shared" si="12"/>
        <v>Saturday</v>
      </c>
      <c r="E70">
        <v>520146.74959999998</v>
      </c>
      <c r="F70">
        <v>541498.95819999999</v>
      </c>
      <c r="G70">
        <v>16262</v>
      </c>
      <c r="H70" s="1">
        <f t="shared" si="13"/>
        <v>31.985410748985363</v>
      </c>
      <c r="I70" s="1" t="str">
        <f t="shared" si="14"/>
        <v>Low</v>
      </c>
      <c r="J70">
        <f t="shared" si="15"/>
        <v>-4.1050354763189727</v>
      </c>
      <c r="K70">
        <f t="shared" si="16"/>
        <v>33.298423207477555</v>
      </c>
      <c r="L70">
        <f t="shared" si="17"/>
        <v>-4.1050354763189763</v>
      </c>
    </row>
    <row r="71" spans="1:12" x14ac:dyDescent="0.25">
      <c r="A71" s="3">
        <v>41707</v>
      </c>
      <c r="B71" s="3" t="str">
        <f t="shared" si="10"/>
        <v>Mar</v>
      </c>
      <c r="C71" s="3" t="str">
        <f t="shared" si="11"/>
        <v>2014</v>
      </c>
      <c r="D71" s="3" t="str">
        <f t="shared" si="12"/>
        <v>Sunday</v>
      </c>
      <c r="E71">
        <v>224699.25279999999</v>
      </c>
      <c r="F71">
        <v>233589.98300000001</v>
      </c>
      <c r="G71">
        <v>7014</v>
      </c>
      <c r="H71" s="1">
        <f t="shared" si="13"/>
        <v>32.035821613915026</v>
      </c>
      <c r="I71" s="1" t="str">
        <f t="shared" si="14"/>
        <v>Low</v>
      </c>
      <c r="J71">
        <f t="shared" si="15"/>
        <v>-3.9567244168423956</v>
      </c>
      <c r="K71">
        <f t="shared" si="16"/>
        <v>33.303390789848876</v>
      </c>
      <c r="L71">
        <f t="shared" si="17"/>
        <v>-3.9567244168423992</v>
      </c>
    </row>
    <row r="72" spans="1:12" x14ac:dyDescent="0.25">
      <c r="A72" s="3">
        <v>41708</v>
      </c>
      <c r="B72" s="3" t="str">
        <f t="shared" si="10"/>
        <v>Mar</v>
      </c>
      <c r="C72" s="3" t="str">
        <f t="shared" si="11"/>
        <v>2014</v>
      </c>
      <c r="D72" s="3" t="str">
        <f t="shared" si="12"/>
        <v>Monday</v>
      </c>
      <c r="E72">
        <v>286230.6789</v>
      </c>
      <c r="F72">
        <v>297642.89140000002</v>
      </c>
      <c r="G72">
        <v>8932</v>
      </c>
      <c r="H72" s="1">
        <f t="shared" si="13"/>
        <v>32.045530553067621</v>
      </c>
      <c r="I72" s="1" t="str">
        <f t="shared" si="14"/>
        <v>Low</v>
      </c>
      <c r="J72">
        <f t="shared" si="15"/>
        <v>-3.9870682429492792</v>
      </c>
      <c r="K72">
        <f t="shared" si="16"/>
        <v>33.323207725033591</v>
      </c>
      <c r="L72">
        <f t="shared" si="17"/>
        <v>-3.9870682429492841</v>
      </c>
    </row>
    <row r="73" spans="1:12" x14ac:dyDescent="0.25">
      <c r="A73" s="3">
        <v>41709</v>
      </c>
      <c r="B73" s="3" t="str">
        <f t="shared" si="10"/>
        <v>Mar</v>
      </c>
      <c r="C73" s="3" t="str">
        <f t="shared" si="11"/>
        <v>2014</v>
      </c>
      <c r="D73" s="3" t="str">
        <f t="shared" si="12"/>
        <v>Tuesday</v>
      </c>
      <c r="E73">
        <v>187143.01809999999</v>
      </c>
      <c r="F73">
        <v>191499.0428</v>
      </c>
      <c r="G73">
        <v>5737</v>
      </c>
      <c r="H73" s="1">
        <f t="shared" si="13"/>
        <v>32.62036222764511</v>
      </c>
      <c r="I73" s="1" t="str">
        <f t="shared" si="14"/>
        <v>Low</v>
      </c>
      <c r="J73">
        <f t="shared" si="15"/>
        <v>-2.3276447843073496</v>
      </c>
      <c r="K73">
        <f t="shared" si="16"/>
        <v>33.379648387659053</v>
      </c>
      <c r="L73">
        <f t="shared" si="17"/>
        <v>-2.3276447843073393</v>
      </c>
    </row>
    <row r="74" spans="1:12" x14ac:dyDescent="0.25">
      <c r="A74" s="3">
        <v>41710</v>
      </c>
      <c r="B74" s="3" t="str">
        <f t="shared" si="10"/>
        <v>Mar</v>
      </c>
      <c r="C74" s="3" t="str">
        <f t="shared" si="11"/>
        <v>2014</v>
      </c>
      <c r="D74" s="3" t="str">
        <f t="shared" si="12"/>
        <v>Wednesday</v>
      </c>
      <c r="E74">
        <v>191700.3891</v>
      </c>
      <c r="F74">
        <v>197153.424</v>
      </c>
      <c r="G74">
        <v>5903</v>
      </c>
      <c r="H74" s="1">
        <f t="shared" si="13"/>
        <v>32.475078621040147</v>
      </c>
      <c r="I74" s="1" t="str">
        <f t="shared" si="14"/>
        <v>Low</v>
      </c>
      <c r="J74">
        <f t="shared" si="15"/>
        <v>-2.8445612059532324</v>
      </c>
      <c r="K74">
        <f t="shared" si="16"/>
        <v>33.398852109097071</v>
      </c>
      <c r="L74">
        <f t="shared" si="17"/>
        <v>-2.8445612059532435</v>
      </c>
    </row>
    <row r="75" spans="1:12" x14ac:dyDescent="0.25">
      <c r="A75" s="3">
        <v>41711</v>
      </c>
      <c r="B75" s="3" t="str">
        <f t="shared" si="10"/>
        <v>Mar</v>
      </c>
      <c r="C75" s="3" t="str">
        <f t="shared" si="11"/>
        <v>2014</v>
      </c>
      <c r="D75" s="3" t="str">
        <f t="shared" si="12"/>
        <v>Thursday</v>
      </c>
      <c r="E75">
        <v>164663.9676</v>
      </c>
      <c r="F75">
        <v>168975.174</v>
      </c>
      <c r="G75">
        <v>5056</v>
      </c>
      <c r="H75" s="1">
        <f t="shared" si="13"/>
        <v>32.568031566455694</v>
      </c>
      <c r="I75" s="1" t="str">
        <f t="shared" si="14"/>
        <v>Low</v>
      </c>
      <c r="J75">
        <f t="shared" si="15"/>
        <v>-2.6181844533667094</v>
      </c>
      <c r="K75">
        <f t="shared" si="16"/>
        <v>33.4207227056962</v>
      </c>
      <c r="L75">
        <f t="shared" si="17"/>
        <v>-2.6181844533667098</v>
      </c>
    </row>
    <row r="76" spans="1:12" x14ac:dyDescent="0.25">
      <c r="A76" s="3">
        <v>41712</v>
      </c>
      <c r="B76" s="3" t="str">
        <f t="shared" si="10"/>
        <v>Mar</v>
      </c>
      <c r="C76" s="3" t="str">
        <f t="shared" si="11"/>
        <v>2014</v>
      </c>
      <c r="D76" s="3" t="str">
        <f t="shared" si="12"/>
        <v>Friday</v>
      </c>
      <c r="E76">
        <v>395941.34509999998</v>
      </c>
      <c r="F76">
        <v>406765.91399999999</v>
      </c>
      <c r="G76">
        <v>12167</v>
      </c>
      <c r="H76" s="1">
        <f t="shared" si="13"/>
        <v>32.542232686775705</v>
      </c>
      <c r="I76" s="1" t="str">
        <f t="shared" si="14"/>
        <v>Low</v>
      </c>
      <c r="J76">
        <f t="shared" si="15"/>
        <v>-2.7338819332611326</v>
      </c>
      <c r="K76">
        <f t="shared" si="16"/>
        <v>33.431898906879262</v>
      </c>
      <c r="L76">
        <f t="shared" si="17"/>
        <v>-2.7338819332611228</v>
      </c>
    </row>
    <row r="77" spans="1:12" x14ac:dyDescent="0.25">
      <c r="A77" s="3">
        <v>41713</v>
      </c>
      <c r="B77" s="3" t="str">
        <f t="shared" si="10"/>
        <v>Mar</v>
      </c>
      <c r="C77" s="3" t="str">
        <f t="shared" si="11"/>
        <v>2014</v>
      </c>
      <c r="D77" s="3" t="str">
        <f t="shared" si="12"/>
        <v>Saturday</v>
      </c>
      <c r="E77">
        <v>518183.21039999998</v>
      </c>
      <c r="F77">
        <v>534383.14309999999</v>
      </c>
      <c r="G77">
        <v>15971</v>
      </c>
      <c r="H77" s="1">
        <f t="shared" si="13"/>
        <v>32.44525767954417</v>
      </c>
      <c r="I77" s="1" t="str">
        <f t="shared" si="14"/>
        <v>Low</v>
      </c>
      <c r="J77">
        <f t="shared" si="15"/>
        <v>-3.1262944022240369</v>
      </c>
      <c r="K77">
        <f t="shared" si="16"/>
        <v>33.459591954166925</v>
      </c>
      <c r="L77">
        <f t="shared" si="17"/>
        <v>-3.1262944022240391</v>
      </c>
    </row>
    <row r="78" spans="1:12" x14ac:dyDescent="0.25">
      <c r="A78" s="3">
        <v>41714</v>
      </c>
      <c r="B78" s="3" t="str">
        <f t="shared" si="10"/>
        <v>Mar</v>
      </c>
      <c r="C78" s="3" t="str">
        <f t="shared" si="11"/>
        <v>2014</v>
      </c>
      <c r="D78" s="3" t="str">
        <f t="shared" si="12"/>
        <v>Sunday</v>
      </c>
      <c r="E78">
        <v>226617.95490000001</v>
      </c>
      <c r="F78">
        <v>233191.10459999999</v>
      </c>
      <c r="G78">
        <v>6968</v>
      </c>
      <c r="H78" s="1">
        <f t="shared" si="13"/>
        <v>32.522668613662461</v>
      </c>
      <c r="I78" s="1" t="str">
        <f t="shared" si="14"/>
        <v>Low</v>
      </c>
      <c r="J78">
        <f t="shared" si="15"/>
        <v>-2.9005423259161094</v>
      </c>
      <c r="K78">
        <f t="shared" si="16"/>
        <v>33.466002382319175</v>
      </c>
      <c r="L78">
        <f t="shared" si="17"/>
        <v>-2.9005423259161112</v>
      </c>
    </row>
    <row r="79" spans="1:12" x14ac:dyDescent="0.25">
      <c r="A79" s="3">
        <v>41715</v>
      </c>
      <c r="B79" s="3" t="str">
        <f t="shared" si="10"/>
        <v>Mar</v>
      </c>
      <c r="C79" s="3" t="str">
        <f t="shared" si="11"/>
        <v>2014</v>
      </c>
      <c r="D79" s="3" t="str">
        <f t="shared" si="12"/>
        <v>Monday</v>
      </c>
      <c r="E79">
        <v>243707.8719</v>
      </c>
      <c r="F79">
        <v>250794.2213</v>
      </c>
      <c r="G79">
        <v>7494</v>
      </c>
      <c r="H79" s="1">
        <f t="shared" si="13"/>
        <v>32.520399239391516</v>
      </c>
      <c r="I79" s="1" t="str">
        <f t="shared" si="14"/>
        <v>Low</v>
      </c>
      <c r="J79">
        <f t="shared" si="15"/>
        <v>-2.9077228177954502</v>
      </c>
      <c r="K79">
        <f t="shared" si="16"/>
        <v>33.466002308513481</v>
      </c>
      <c r="L79">
        <f t="shared" si="17"/>
        <v>-2.9077228177954506</v>
      </c>
    </row>
    <row r="80" spans="1:12" x14ac:dyDescent="0.25">
      <c r="A80" s="3">
        <v>41716</v>
      </c>
      <c r="B80" s="3" t="str">
        <f t="shared" si="10"/>
        <v>Mar</v>
      </c>
      <c r="C80" s="3" t="str">
        <f t="shared" si="11"/>
        <v>2014</v>
      </c>
      <c r="D80" s="3" t="str">
        <f t="shared" si="12"/>
        <v>Tuesday</v>
      </c>
      <c r="E80">
        <v>94849.743799999997</v>
      </c>
      <c r="F80">
        <v>90571.588919999995</v>
      </c>
      <c r="G80">
        <v>2707</v>
      </c>
      <c r="H80" s="1">
        <f t="shared" si="13"/>
        <v>35.038693683043959</v>
      </c>
      <c r="I80" s="1" t="str">
        <f t="shared" si="14"/>
        <v>Low</v>
      </c>
      <c r="J80">
        <f t="shared" si="15"/>
        <v>4.5104548611337441</v>
      </c>
      <c r="K80">
        <f t="shared" si="16"/>
        <v>33.458289220539342</v>
      </c>
      <c r="L80">
        <f t="shared" si="17"/>
        <v>4.5104548611337414</v>
      </c>
    </row>
    <row r="81" spans="1:12" x14ac:dyDescent="0.25">
      <c r="A81" s="3">
        <v>41717</v>
      </c>
      <c r="B81" s="3" t="str">
        <f t="shared" si="10"/>
        <v>Mar</v>
      </c>
      <c r="C81" s="3" t="str">
        <f t="shared" si="11"/>
        <v>2014</v>
      </c>
      <c r="D81" s="3" t="str">
        <f t="shared" si="12"/>
        <v>Wednesday</v>
      </c>
      <c r="E81">
        <v>92386.783070000005</v>
      </c>
      <c r="F81">
        <v>88255.840989999997</v>
      </c>
      <c r="G81">
        <v>2637</v>
      </c>
      <c r="H81" s="1">
        <f t="shared" si="13"/>
        <v>35.034805866514979</v>
      </c>
      <c r="I81" s="1" t="str">
        <f t="shared" si="14"/>
        <v>Low</v>
      </c>
      <c r="J81">
        <f t="shared" si="15"/>
        <v>4.4713561212214286</v>
      </c>
      <c r="K81">
        <f t="shared" si="16"/>
        <v>33.468274929844519</v>
      </c>
      <c r="L81">
        <f t="shared" si="17"/>
        <v>4.471356121221425</v>
      </c>
    </row>
    <row r="82" spans="1:12" x14ac:dyDescent="0.25">
      <c r="A82" s="3">
        <v>41718</v>
      </c>
      <c r="B82" s="3" t="str">
        <f t="shared" si="10"/>
        <v>Mar</v>
      </c>
      <c r="C82" s="3" t="str">
        <f t="shared" si="11"/>
        <v>2014</v>
      </c>
      <c r="D82" s="3" t="str">
        <f t="shared" si="12"/>
        <v>Thursday</v>
      </c>
      <c r="E82">
        <v>180394.82769999999</v>
      </c>
      <c r="F82">
        <v>172344.30439999999</v>
      </c>
      <c r="G82">
        <v>5149</v>
      </c>
      <c r="H82" s="1">
        <f t="shared" si="13"/>
        <v>35.034924781510973</v>
      </c>
      <c r="I82" s="1" t="str">
        <f t="shared" si="14"/>
        <v>Low</v>
      </c>
      <c r="J82">
        <f t="shared" si="15"/>
        <v>4.4627240163383028</v>
      </c>
      <c r="K82">
        <f t="shared" si="16"/>
        <v>33.471412779180419</v>
      </c>
      <c r="L82">
        <f t="shared" si="17"/>
        <v>4.4627240163383171</v>
      </c>
    </row>
    <row r="83" spans="1:12" x14ac:dyDescent="0.25">
      <c r="A83" s="3">
        <v>41719</v>
      </c>
      <c r="B83" s="3" t="str">
        <f t="shared" si="10"/>
        <v>Mar</v>
      </c>
      <c r="C83" s="3" t="str">
        <f t="shared" si="11"/>
        <v>2014</v>
      </c>
      <c r="D83" s="3" t="str">
        <f t="shared" si="12"/>
        <v>Friday</v>
      </c>
      <c r="E83">
        <v>200939.6924</v>
      </c>
      <c r="F83">
        <v>192019.14430000001</v>
      </c>
      <c r="G83">
        <v>5735</v>
      </c>
      <c r="H83" s="1">
        <f t="shared" si="13"/>
        <v>35.037435466434175</v>
      </c>
      <c r="I83" s="1" t="str">
        <f t="shared" si="14"/>
        <v>Low</v>
      </c>
      <c r="J83">
        <f t="shared" si="15"/>
        <v>4.4394156243866059</v>
      </c>
      <c r="K83">
        <f t="shared" si="16"/>
        <v>33.481978081952924</v>
      </c>
      <c r="L83">
        <f t="shared" si="17"/>
        <v>4.4394156243865996</v>
      </c>
    </row>
    <row r="84" spans="1:12" x14ac:dyDescent="0.25">
      <c r="A84" s="3">
        <v>41720</v>
      </c>
      <c r="B84" s="3" t="str">
        <f t="shared" si="10"/>
        <v>Mar</v>
      </c>
      <c r="C84" s="3" t="str">
        <f t="shared" si="11"/>
        <v>2014</v>
      </c>
      <c r="D84" s="3" t="str">
        <f t="shared" si="12"/>
        <v>Saturday</v>
      </c>
      <c r="E84">
        <v>172953.9247</v>
      </c>
      <c r="F84">
        <v>165201.30499999999</v>
      </c>
      <c r="G84">
        <v>4936</v>
      </c>
      <c r="H84" s="1">
        <f t="shared" si="13"/>
        <v>35.039287824149106</v>
      </c>
      <c r="I84" s="1" t="str">
        <f t="shared" si="14"/>
        <v>Low</v>
      </c>
      <c r="J84">
        <f t="shared" si="15"/>
        <v>4.4824768870943172</v>
      </c>
      <c r="K84">
        <f t="shared" si="16"/>
        <v>33.468659846029169</v>
      </c>
      <c r="L84">
        <f t="shared" si="17"/>
        <v>4.4824768870943172</v>
      </c>
    </row>
    <row r="85" spans="1:12" x14ac:dyDescent="0.25">
      <c r="A85" s="3">
        <v>41721</v>
      </c>
      <c r="B85" s="3" t="str">
        <f t="shared" si="10"/>
        <v>Mar</v>
      </c>
      <c r="C85" s="3" t="str">
        <f t="shared" si="11"/>
        <v>2014</v>
      </c>
      <c r="D85" s="3" t="str">
        <f t="shared" si="12"/>
        <v>Sunday</v>
      </c>
      <c r="E85">
        <v>70194.799540000007</v>
      </c>
      <c r="F85">
        <v>67061.622709999996</v>
      </c>
      <c r="G85">
        <v>2003</v>
      </c>
      <c r="H85" s="1">
        <f t="shared" si="13"/>
        <v>35.044832521218176</v>
      </c>
      <c r="I85" s="1" t="str">
        <f t="shared" si="14"/>
        <v>Low</v>
      </c>
      <c r="J85">
        <f t="shared" si="15"/>
        <v>4.4635455197996432</v>
      </c>
      <c r="K85">
        <f t="shared" si="16"/>
        <v>33.480590469296054</v>
      </c>
      <c r="L85">
        <f t="shared" si="17"/>
        <v>4.4635455197996423</v>
      </c>
    </row>
    <row r="86" spans="1:12" x14ac:dyDescent="0.25">
      <c r="A86" s="3">
        <v>41722</v>
      </c>
      <c r="B86" s="3" t="str">
        <f t="shared" si="10"/>
        <v>Mar</v>
      </c>
      <c r="C86" s="3" t="str">
        <f t="shared" si="11"/>
        <v>2014</v>
      </c>
      <c r="D86" s="3" t="str">
        <f t="shared" si="12"/>
        <v>Monday</v>
      </c>
      <c r="E86">
        <v>81378.214630000002</v>
      </c>
      <c r="F86">
        <v>77703.646330000003</v>
      </c>
      <c r="G86">
        <v>2323</v>
      </c>
      <c r="H86" s="1">
        <f t="shared" si="13"/>
        <v>35.031517275075338</v>
      </c>
      <c r="I86" s="1" t="str">
        <f t="shared" si="14"/>
        <v>Low</v>
      </c>
      <c r="J86">
        <f t="shared" si="15"/>
        <v>4.5154201486319812</v>
      </c>
      <c r="K86">
        <f t="shared" si="16"/>
        <v>33.449697085665086</v>
      </c>
      <c r="L86">
        <f t="shared" si="17"/>
        <v>4.5154201486319998</v>
      </c>
    </row>
    <row r="87" spans="1:12" x14ac:dyDescent="0.25">
      <c r="A87" s="3">
        <v>41723</v>
      </c>
      <c r="B87" s="3" t="str">
        <f t="shared" si="10"/>
        <v>Mar</v>
      </c>
      <c r="C87" s="3" t="str">
        <f t="shared" si="11"/>
        <v>2014</v>
      </c>
      <c r="D87" s="3" t="str">
        <f t="shared" si="12"/>
        <v>Tuesday</v>
      </c>
      <c r="E87">
        <v>130227.0147</v>
      </c>
      <c r="F87">
        <v>127394.2892</v>
      </c>
      <c r="G87">
        <v>3822</v>
      </c>
      <c r="H87" s="1">
        <f t="shared" si="13"/>
        <v>34.073002276295135</v>
      </c>
      <c r="I87" s="1" t="str">
        <f t="shared" si="14"/>
        <v>Low</v>
      </c>
      <c r="J87">
        <f t="shared" si="15"/>
        <v>2.1752210987295255</v>
      </c>
      <c r="K87">
        <f t="shared" si="16"/>
        <v>33.331839141810569</v>
      </c>
      <c r="L87">
        <f t="shared" si="17"/>
        <v>2.1752210987295335</v>
      </c>
    </row>
    <row r="88" spans="1:12" x14ac:dyDescent="0.25">
      <c r="A88" s="3">
        <v>41724</v>
      </c>
      <c r="B88" s="3" t="str">
        <f t="shared" si="10"/>
        <v>Mar</v>
      </c>
      <c r="C88" s="3" t="str">
        <f t="shared" si="11"/>
        <v>2014</v>
      </c>
      <c r="D88" s="3" t="str">
        <f t="shared" si="12"/>
        <v>Wednesday</v>
      </c>
      <c r="E88">
        <v>125310.0364</v>
      </c>
      <c r="F88">
        <v>122275.1026</v>
      </c>
      <c r="G88">
        <v>3666</v>
      </c>
      <c r="H88" s="1">
        <f t="shared" si="13"/>
        <v>34.181679323513364</v>
      </c>
      <c r="I88" s="1" t="str">
        <f t="shared" si="14"/>
        <v>Low</v>
      </c>
      <c r="J88">
        <f t="shared" si="15"/>
        <v>2.421939923720267</v>
      </c>
      <c r="K88">
        <f t="shared" si="16"/>
        <v>33.353819585379156</v>
      </c>
      <c r="L88">
        <f t="shared" si="17"/>
        <v>2.4219399237202737</v>
      </c>
    </row>
    <row r="89" spans="1:12" x14ac:dyDescent="0.25">
      <c r="A89" s="3">
        <v>41725</v>
      </c>
      <c r="B89" s="3" t="str">
        <f t="shared" si="10"/>
        <v>Mar</v>
      </c>
      <c r="C89" s="3" t="str">
        <f t="shared" si="11"/>
        <v>2014</v>
      </c>
      <c r="D89" s="3" t="str">
        <f t="shared" si="12"/>
        <v>Thursday</v>
      </c>
      <c r="E89">
        <v>119452.33960000001</v>
      </c>
      <c r="F89">
        <v>118186.575</v>
      </c>
      <c r="G89">
        <v>3543</v>
      </c>
      <c r="H89" s="1">
        <f t="shared" si="13"/>
        <v>33.715026700536271</v>
      </c>
      <c r="I89" s="1" t="str">
        <f t="shared" si="14"/>
        <v>Low</v>
      </c>
      <c r="J89">
        <f t="shared" si="15"/>
        <v>1.0596398565641902</v>
      </c>
      <c r="K89">
        <f t="shared" si="16"/>
        <v>33.357768839966127</v>
      </c>
      <c r="L89">
        <f t="shared" si="17"/>
        <v>1.0596398565641985</v>
      </c>
    </row>
    <row r="90" spans="1:12" x14ac:dyDescent="0.25">
      <c r="A90" s="3">
        <v>41726</v>
      </c>
      <c r="B90" s="3" t="str">
        <f t="shared" si="10"/>
        <v>Mar</v>
      </c>
      <c r="C90" s="3" t="str">
        <f t="shared" si="11"/>
        <v>2014</v>
      </c>
      <c r="D90" s="3" t="str">
        <f t="shared" si="12"/>
        <v>Friday</v>
      </c>
      <c r="E90">
        <v>276174.76929999999</v>
      </c>
      <c r="F90">
        <v>271550.89559999999</v>
      </c>
      <c r="G90">
        <v>8130</v>
      </c>
      <c r="H90" s="1">
        <f t="shared" si="13"/>
        <v>33.96983632226322</v>
      </c>
      <c r="I90" s="1" t="str">
        <f t="shared" si="14"/>
        <v>Low</v>
      </c>
      <c r="J90">
        <f t="shared" si="15"/>
        <v>1.6742563818265481</v>
      </c>
      <c r="K90">
        <f t="shared" si="16"/>
        <v>33.401094169741697</v>
      </c>
      <c r="L90">
        <f t="shared" si="17"/>
        <v>1.6742563818265426</v>
      </c>
    </row>
    <row r="91" spans="1:12" x14ac:dyDescent="0.25">
      <c r="A91" s="3">
        <v>41727</v>
      </c>
      <c r="B91" s="3" t="str">
        <f t="shared" si="10"/>
        <v>Mar</v>
      </c>
      <c r="C91" s="3" t="str">
        <f t="shared" si="11"/>
        <v>2014</v>
      </c>
      <c r="D91" s="3" t="str">
        <f t="shared" si="12"/>
        <v>Saturday</v>
      </c>
      <c r="E91">
        <v>357369.26689999999</v>
      </c>
      <c r="F91">
        <v>352250.83010000002</v>
      </c>
      <c r="G91">
        <v>10518</v>
      </c>
      <c r="H91" s="1">
        <f t="shared" si="13"/>
        <v>33.976922123977943</v>
      </c>
      <c r="I91" s="1" t="str">
        <f t="shared" si="14"/>
        <v>Low</v>
      </c>
      <c r="J91">
        <f t="shared" si="15"/>
        <v>1.4322543302057984</v>
      </c>
      <c r="K91">
        <f t="shared" si="16"/>
        <v>33.490286185586612</v>
      </c>
      <c r="L91">
        <f t="shared" si="17"/>
        <v>1.4322543302058117</v>
      </c>
    </row>
    <row r="92" spans="1:12" x14ac:dyDescent="0.25">
      <c r="A92" s="3">
        <v>41728</v>
      </c>
      <c r="B92" s="3" t="str">
        <f t="shared" si="10"/>
        <v>Mar</v>
      </c>
      <c r="C92" s="3" t="str">
        <f t="shared" si="11"/>
        <v>2014</v>
      </c>
      <c r="D92" s="3" t="str">
        <f t="shared" si="12"/>
        <v>Sunday</v>
      </c>
      <c r="E92">
        <v>163865.4903</v>
      </c>
      <c r="F92">
        <v>160525.42689999999</v>
      </c>
      <c r="G92">
        <v>4791</v>
      </c>
      <c r="H92" s="1">
        <f t="shared" si="13"/>
        <v>34.20277401377583</v>
      </c>
      <c r="I92" s="1" t="str">
        <f t="shared" si="14"/>
        <v>Low</v>
      </c>
      <c r="J92">
        <f t="shared" si="15"/>
        <v>2.0382957960734296</v>
      </c>
      <c r="K92">
        <f t="shared" si="16"/>
        <v>33.50562030891254</v>
      </c>
      <c r="L92">
        <f t="shared" si="17"/>
        <v>2.038295796073434</v>
      </c>
    </row>
    <row r="93" spans="1:12" x14ac:dyDescent="0.25">
      <c r="A93" s="3">
        <v>41729</v>
      </c>
      <c r="B93" s="3" t="str">
        <f t="shared" si="10"/>
        <v>Mar</v>
      </c>
      <c r="C93" s="3" t="str">
        <f t="shared" si="11"/>
        <v>2014</v>
      </c>
      <c r="D93" s="3" t="str">
        <f t="shared" si="12"/>
        <v>Monday</v>
      </c>
      <c r="E93">
        <v>190719.6145</v>
      </c>
      <c r="F93">
        <v>187072.59520000001</v>
      </c>
      <c r="G93">
        <v>5583</v>
      </c>
      <c r="H93" s="1">
        <f t="shared" si="13"/>
        <v>34.160776374708938</v>
      </c>
      <c r="I93" s="1" t="str">
        <f t="shared" si="14"/>
        <v>Low</v>
      </c>
      <c r="J93">
        <f t="shared" si="15"/>
        <v>1.9122413337302469</v>
      </c>
      <c r="K93">
        <f t="shared" si="16"/>
        <v>33.507539888948592</v>
      </c>
      <c r="L93">
        <f t="shared" si="17"/>
        <v>1.9122413337302591</v>
      </c>
    </row>
    <row r="94" spans="1:12" x14ac:dyDescent="0.25">
      <c r="A94" s="3">
        <v>41730</v>
      </c>
      <c r="B94" s="3" t="str">
        <f t="shared" si="10"/>
        <v>Apr</v>
      </c>
      <c r="C94" s="3" t="str">
        <f t="shared" si="11"/>
        <v>2014</v>
      </c>
      <c r="D94" s="3" t="str">
        <f t="shared" si="12"/>
        <v>Tuesday</v>
      </c>
      <c r="E94">
        <v>244535.2052</v>
      </c>
      <c r="F94">
        <v>239700.68479999999</v>
      </c>
      <c r="G94">
        <v>7155</v>
      </c>
      <c r="H94" s="1">
        <f t="shared" si="13"/>
        <v>34.176828120195665</v>
      </c>
      <c r="I94" s="1" t="str">
        <f t="shared" si="14"/>
        <v>Low</v>
      </c>
      <c r="J94">
        <f t="shared" si="15"/>
        <v>1.9770242881984867</v>
      </c>
      <c r="K94">
        <f t="shared" si="16"/>
        <v>33.501143927323547</v>
      </c>
      <c r="L94">
        <f t="shared" si="17"/>
        <v>1.9770242881984872</v>
      </c>
    </row>
    <row r="95" spans="1:12" x14ac:dyDescent="0.25">
      <c r="A95" s="3">
        <v>41731</v>
      </c>
      <c r="B95" s="3" t="str">
        <f t="shared" si="10"/>
        <v>Apr</v>
      </c>
      <c r="C95" s="3" t="str">
        <f t="shared" si="11"/>
        <v>2014</v>
      </c>
      <c r="D95" s="3" t="str">
        <f t="shared" si="12"/>
        <v>Wednesday</v>
      </c>
      <c r="E95">
        <v>155620.50380000001</v>
      </c>
      <c r="F95">
        <v>153366.01879999999</v>
      </c>
      <c r="G95">
        <v>4575</v>
      </c>
      <c r="H95" s="1">
        <f t="shared" si="13"/>
        <v>34.015410666666668</v>
      </c>
      <c r="I95" s="1" t="str">
        <f t="shared" si="14"/>
        <v>Low</v>
      </c>
      <c r="J95">
        <f t="shared" si="15"/>
        <v>1.4487069151873644</v>
      </c>
      <c r="K95">
        <f t="shared" si="16"/>
        <v>33.522627060109286</v>
      </c>
      <c r="L95">
        <f t="shared" si="17"/>
        <v>1.4487069151873673</v>
      </c>
    </row>
    <row r="96" spans="1:12" x14ac:dyDescent="0.25">
      <c r="A96" s="3">
        <v>41732</v>
      </c>
      <c r="B96" s="3" t="str">
        <f t="shared" si="10"/>
        <v>Apr</v>
      </c>
      <c r="C96" s="3" t="str">
        <f t="shared" si="11"/>
        <v>2014</v>
      </c>
      <c r="D96" s="3" t="str">
        <f t="shared" si="12"/>
        <v>Thursday</v>
      </c>
      <c r="E96">
        <v>136001.97820000001</v>
      </c>
      <c r="F96">
        <v>134523.0686</v>
      </c>
      <c r="G96">
        <v>3997</v>
      </c>
      <c r="H96" s="1">
        <f t="shared" si="13"/>
        <v>34.026014060545414</v>
      </c>
      <c r="I96" s="1" t="str">
        <f t="shared" si="14"/>
        <v>Low</v>
      </c>
      <c r="J96">
        <f t="shared" si="15"/>
        <v>1.0874177122814921</v>
      </c>
      <c r="K96">
        <f t="shared" si="16"/>
        <v>33.656009156867647</v>
      </c>
      <c r="L96">
        <f t="shared" si="17"/>
        <v>1.0874177122815076</v>
      </c>
    </row>
    <row r="97" spans="1:12" x14ac:dyDescent="0.25">
      <c r="A97" s="3">
        <v>41733</v>
      </c>
      <c r="B97" s="3" t="str">
        <f t="shared" si="10"/>
        <v>Apr</v>
      </c>
      <c r="C97" s="3" t="str">
        <f t="shared" si="11"/>
        <v>2014</v>
      </c>
      <c r="D97" s="3" t="str">
        <f t="shared" si="12"/>
        <v>Friday</v>
      </c>
      <c r="E97">
        <v>190559.88750000001</v>
      </c>
      <c r="F97">
        <v>187742.3</v>
      </c>
      <c r="G97">
        <v>5558</v>
      </c>
      <c r="H97" s="1">
        <f t="shared" si="13"/>
        <v>34.285694044620371</v>
      </c>
      <c r="I97" s="1" t="str">
        <f t="shared" si="14"/>
        <v>Low</v>
      </c>
      <c r="J97">
        <f t="shared" si="15"/>
        <v>1.4785837339455938</v>
      </c>
      <c r="K97">
        <f t="shared" si="16"/>
        <v>33.778751349406257</v>
      </c>
      <c r="L97">
        <f t="shared" si="17"/>
        <v>1.4785837339456063</v>
      </c>
    </row>
    <row r="98" spans="1:12" x14ac:dyDescent="0.25">
      <c r="A98" s="3">
        <v>41734</v>
      </c>
      <c r="B98" s="3" t="str">
        <f t="shared" si="10"/>
        <v>Apr</v>
      </c>
      <c r="C98" s="3" t="str">
        <f t="shared" si="11"/>
        <v>2014</v>
      </c>
      <c r="D98" s="3" t="str">
        <f t="shared" si="12"/>
        <v>Saturday</v>
      </c>
      <c r="E98">
        <v>217110.5025</v>
      </c>
      <c r="F98">
        <v>213540.73420000001</v>
      </c>
      <c r="G98">
        <v>6320</v>
      </c>
      <c r="H98" s="1">
        <f t="shared" si="13"/>
        <v>34.352927610759494</v>
      </c>
      <c r="I98" s="1" t="str">
        <f t="shared" si="14"/>
        <v>Low</v>
      </c>
      <c r="J98">
        <f t="shared" si="15"/>
        <v>1.6442172344932948</v>
      </c>
      <c r="K98">
        <f t="shared" si="16"/>
        <v>33.788090854430379</v>
      </c>
      <c r="L98">
        <f t="shared" si="17"/>
        <v>1.6442172344932986</v>
      </c>
    </row>
    <row r="99" spans="1:12" x14ac:dyDescent="0.25">
      <c r="A99" s="3">
        <v>41735</v>
      </c>
      <c r="B99" s="3" t="str">
        <f t="shared" si="10"/>
        <v>Apr</v>
      </c>
      <c r="C99" s="3" t="str">
        <f t="shared" si="11"/>
        <v>2014</v>
      </c>
      <c r="D99" s="3" t="str">
        <f t="shared" si="12"/>
        <v>Sunday</v>
      </c>
      <c r="E99">
        <v>119190.1</v>
      </c>
      <c r="F99">
        <v>116856.3146</v>
      </c>
      <c r="G99">
        <v>3447</v>
      </c>
      <c r="H99" s="1">
        <f t="shared" si="13"/>
        <v>34.577922831447637</v>
      </c>
      <c r="I99" s="1" t="str">
        <f t="shared" si="14"/>
        <v>Low</v>
      </c>
      <c r="J99">
        <f t="shared" si="15"/>
        <v>1.9580362798588202</v>
      </c>
      <c r="K99">
        <f t="shared" si="16"/>
        <v>33.900874557586306</v>
      </c>
      <c r="L99">
        <f t="shared" si="17"/>
        <v>1.9580362798588207</v>
      </c>
    </row>
    <row r="100" spans="1:12" x14ac:dyDescent="0.25">
      <c r="A100" s="3">
        <v>41736</v>
      </c>
      <c r="B100" s="3" t="str">
        <f t="shared" si="10"/>
        <v>Apr</v>
      </c>
      <c r="C100" s="3" t="str">
        <f t="shared" si="11"/>
        <v>2014</v>
      </c>
      <c r="D100" s="3" t="str">
        <f t="shared" si="12"/>
        <v>Monday</v>
      </c>
      <c r="E100">
        <v>131910.19750000001</v>
      </c>
      <c r="F100">
        <v>130784.44469999999</v>
      </c>
      <c r="G100">
        <v>3854</v>
      </c>
      <c r="H100" s="1">
        <f t="shared" si="13"/>
        <v>34.226828619615986</v>
      </c>
      <c r="I100" s="1" t="str">
        <f t="shared" si="14"/>
        <v>Low</v>
      </c>
      <c r="J100">
        <f t="shared" si="15"/>
        <v>0.85342363315013336</v>
      </c>
      <c r="K100">
        <f t="shared" si="16"/>
        <v>33.934728775298389</v>
      </c>
      <c r="L100">
        <f t="shared" si="17"/>
        <v>0.8534236331501367</v>
      </c>
    </row>
    <row r="101" spans="1:12" x14ac:dyDescent="0.25">
      <c r="A101" s="3">
        <v>41737</v>
      </c>
      <c r="B101" s="3" t="str">
        <f t="shared" si="10"/>
        <v>Apr</v>
      </c>
      <c r="C101" s="3" t="str">
        <f t="shared" si="11"/>
        <v>2014</v>
      </c>
      <c r="D101" s="3" t="str">
        <f t="shared" si="12"/>
        <v>Tuesday</v>
      </c>
      <c r="E101">
        <v>118921.3077</v>
      </c>
      <c r="F101">
        <v>115305.8052</v>
      </c>
      <c r="G101">
        <v>3394</v>
      </c>
      <c r="H101" s="1">
        <f t="shared" si="13"/>
        <v>35.038688185032413</v>
      </c>
      <c r="I101" s="1" t="str">
        <f t="shared" si="14"/>
        <v>Low</v>
      </c>
      <c r="J101">
        <f t="shared" si="15"/>
        <v>3.0402478495449659</v>
      </c>
      <c r="K101">
        <f t="shared" si="16"/>
        <v>33.9734252209782</v>
      </c>
      <c r="L101">
        <f t="shared" si="17"/>
        <v>3.0402478495449632</v>
      </c>
    </row>
    <row r="102" spans="1:12" x14ac:dyDescent="0.25">
      <c r="A102" s="3">
        <v>41738</v>
      </c>
      <c r="B102" s="3" t="str">
        <f t="shared" si="10"/>
        <v>Apr</v>
      </c>
      <c r="C102" s="3" t="str">
        <f t="shared" si="11"/>
        <v>2014</v>
      </c>
      <c r="D102" s="3" t="str">
        <f t="shared" si="12"/>
        <v>Wednesday</v>
      </c>
      <c r="E102">
        <v>124828.2828</v>
      </c>
      <c r="F102">
        <v>121264.7031</v>
      </c>
      <c r="G102">
        <v>3563</v>
      </c>
      <c r="H102" s="1">
        <f t="shared" si="13"/>
        <v>35.034600841987093</v>
      </c>
      <c r="I102" s="1" t="str">
        <f t="shared" si="14"/>
        <v>Low</v>
      </c>
      <c r="J102">
        <f t="shared" si="15"/>
        <v>2.8547854861622772</v>
      </c>
      <c r="K102">
        <f t="shared" si="16"/>
        <v>34.034438142015155</v>
      </c>
      <c r="L102">
        <f t="shared" si="17"/>
        <v>2.8547854861622866</v>
      </c>
    </row>
    <row r="103" spans="1:12" x14ac:dyDescent="0.25">
      <c r="A103" s="3">
        <v>41739</v>
      </c>
      <c r="B103" s="3" t="str">
        <f t="shared" si="10"/>
        <v>Apr</v>
      </c>
      <c r="C103" s="3" t="str">
        <f t="shared" si="11"/>
        <v>2014</v>
      </c>
      <c r="D103" s="3" t="str">
        <f t="shared" si="12"/>
        <v>Thursday</v>
      </c>
      <c r="E103">
        <v>179326.4902</v>
      </c>
      <c r="F103">
        <v>183278.5024</v>
      </c>
      <c r="G103">
        <v>5380</v>
      </c>
      <c r="H103" s="1">
        <f t="shared" si="13"/>
        <v>33.332061375464683</v>
      </c>
      <c r="I103" s="1" t="str">
        <f t="shared" si="14"/>
        <v>Low</v>
      </c>
      <c r="J103">
        <f t="shared" si="15"/>
        <v>-2.2038083696348378</v>
      </c>
      <c r="K103">
        <f t="shared" si="16"/>
        <v>34.066636133828993</v>
      </c>
      <c r="L103">
        <f t="shared" si="17"/>
        <v>-2.2038083696348338</v>
      </c>
    </row>
    <row r="104" spans="1:12" x14ac:dyDescent="0.25">
      <c r="A104" s="3">
        <v>41740</v>
      </c>
      <c r="B104" s="3" t="str">
        <f t="shared" si="10"/>
        <v>Apr</v>
      </c>
      <c r="C104" s="3" t="str">
        <f t="shared" si="11"/>
        <v>2014</v>
      </c>
      <c r="D104" s="3" t="str">
        <f t="shared" si="12"/>
        <v>Friday</v>
      </c>
      <c r="E104">
        <v>318949.81709999999</v>
      </c>
      <c r="F104">
        <v>326322.52600000001</v>
      </c>
      <c r="G104">
        <v>9573</v>
      </c>
      <c r="H104" s="1">
        <f t="shared" si="13"/>
        <v>33.317645158257598</v>
      </c>
      <c r="I104" s="1" t="str">
        <f t="shared" si="14"/>
        <v>Low</v>
      </c>
      <c r="J104">
        <f t="shared" si="15"/>
        <v>-2.3115576509919959</v>
      </c>
      <c r="K104">
        <f t="shared" si="16"/>
        <v>34.087801734043666</v>
      </c>
      <c r="L104">
        <f t="shared" si="17"/>
        <v>-2.3115576509919959</v>
      </c>
    </row>
    <row r="105" spans="1:12" x14ac:dyDescent="0.25">
      <c r="A105" s="3">
        <v>41741</v>
      </c>
      <c r="B105" s="3" t="str">
        <f t="shared" si="10"/>
        <v>Apr</v>
      </c>
      <c r="C105" s="3" t="str">
        <f t="shared" si="11"/>
        <v>2014</v>
      </c>
      <c r="D105" s="3" t="str">
        <f t="shared" si="12"/>
        <v>Saturday</v>
      </c>
      <c r="E105">
        <v>375031.10930000001</v>
      </c>
      <c r="F105">
        <v>383727.19400000002</v>
      </c>
      <c r="G105">
        <v>11250</v>
      </c>
      <c r="H105" s="1">
        <f t="shared" si="13"/>
        <v>33.336098604444445</v>
      </c>
      <c r="I105" s="1" t="str">
        <f t="shared" si="14"/>
        <v>Low</v>
      </c>
      <c r="J105">
        <f t="shared" si="15"/>
        <v>-2.3187635597034473</v>
      </c>
      <c r="K105">
        <f t="shared" si="16"/>
        <v>34.109083911111114</v>
      </c>
      <c r="L105">
        <f t="shared" si="17"/>
        <v>-2.318763559703453</v>
      </c>
    </row>
    <row r="106" spans="1:12" x14ac:dyDescent="0.25">
      <c r="A106" s="3">
        <v>41742</v>
      </c>
      <c r="B106" s="3" t="str">
        <f t="shared" si="10"/>
        <v>Apr</v>
      </c>
      <c r="C106" s="3" t="str">
        <f t="shared" si="11"/>
        <v>2014</v>
      </c>
      <c r="D106" s="3" t="str">
        <f t="shared" si="12"/>
        <v>Sunday</v>
      </c>
      <c r="E106">
        <v>166393.54070000001</v>
      </c>
      <c r="F106">
        <v>170061.86410000001</v>
      </c>
      <c r="G106">
        <v>4990</v>
      </c>
      <c r="H106" s="1">
        <f t="shared" si="13"/>
        <v>33.345398937875757</v>
      </c>
      <c r="I106" s="1" t="str">
        <f t="shared" si="14"/>
        <v>Low</v>
      </c>
      <c r="J106">
        <f t="shared" si="15"/>
        <v>-2.2046068522658664</v>
      </c>
      <c r="K106">
        <f t="shared" si="16"/>
        <v>34.080533887775552</v>
      </c>
      <c r="L106">
        <f t="shared" si="17"/>
        <v>-2.2046068522658557</v>
      </c>
    </row>
    <row r="107" spans="1:12" x14ac:dyDescent="0.25">
      <c r="A107" s="3">
        <v>41743</v>
      </c>
      <c r="B107" s="3" t="str">
        <f t="shared" si="10"/>
        <v>Apr</v>
      </c>
      <c r="C107" s="3" t="str">
        <f t="shared" si="11"/>
        <v>2014</v>
      </c>
      <c r="D107" s="3" t="str">
        <f t="shared" si="12"/>
        <v>Monday</v>
      </c>
      <c r="E107">
        <v>193652.3278</v>
      </c>
      <c r="F107">
        <v>198212.0687</v>
      </c>
      <c r="G107">
        <v>5810</v>
      </c>
      <c r="H107" s="1">
        <f t="shared" si="13"/>
        <v>33.330865370051633</v>
      </c>
      <c r="I107" s="1" t="str">
        <f t="shared" si="14"/>
        <v>Low</v>
      </c>
      <c r="J107">
        <f t="shared" si="15"/>
        <v>-2.3546016470864255</v>
      </c>
      <c r="K107">
        <f t="shared" si="16"/>
        <v>34.115674475043029</v>
      </c>
      <c r="L107">
        <f t="shared" si="17"/>
        <v>-2.3546016470864295</v>
      </c>
    </row>
    <row r="108" spans="1:12" x14ac:dyDescent="0.25">
      <c r="A108" s="3">
        <v>41744</v>
      </c>
      <c r="B108" s="3" t="str">
        <f t="shared" si="10"/>
        <v>Apr</v>
      </c>
      <c r="C108" s="3" t="str">
        <f t="shared" si="11"/>
        <v>2014</v>
      </c>
      <c r="D108" s="3" t="str">
        <f t="shared" si="12"/>
        <v>Tuesday</v>
      </c>
      <c r="E108">
        <v>249805.5172</v>
      </c>
      <c r="F108">
        <v>255956.65400000001</v>
      </c>
      <c r="G108">
        <v>7497</v>
      </c>
      <c r="H108" s="1">
        <f t="shared" si="13"/>
        <v>33.32073058556756</v>
      </c>
      <c r="I108" s="1" t="str">
        <f t="shared" si="14"/>
        <v>Low</v>
      </c>
      <c r="J108">
        <f t="shared" si="15"/>
        <v>-2.4623702746626157</v>
      </c>
      <c r="K108">
        <f t="shared" si="16"/>
        <v>34.141210350806993</v>
      </c>
      <c r="L108">
        <f t="shared" si="17"/>
        <v>-2.4623702746626255</v>
      </c>
    </row>
    <row r="109" spans="1:12" x14ac:dyDescent="0.25">
      <c r="A109" s="3">
        <v>41745</v>
      </c>
      <c r="B109" s="3" t="str">
        <f t="shared" si="10"/>
        <v>Apr</v>
      </c>
      <c r="C109" s="3" t="str">
        <f t="shared" si="11"/>
        <v>2014</v>
      </c>
      <c r="D109" s="3" t="str">
        <f t="shared" si="12"/>
        <v>Wednesday</v>
      </c>
      <c r="E109">
        <v>294023.41090000002</v>
      </c>
      <c r="F109">
        <v>301522.35230000003</v>
      </c>
      <c r="G109">
        <v>8821</v>
      </c>
      <c r="H109" s="1">
        <f t="shared" si="13"/>
        <v>33.332208468427616</v>
      </c>
      <c r="I109" s="1" t="str">
        <f t="shared" si="14"/>
        <v>Low</v>
      </c>
      <c r="J109">
        <f t="shared" si="15"/>
        <v>-2.5504572500012483</v>
      </c>
      <c r="K109">
        <f t="shared" si="16"/>
        <v>34.182332195896159</v>
      </c>
      <c r="L109">
        <f t="shared" si="17"/>
        <v>-2.5504572500012488</v>
      </c>
    </row>
    <row r="110" spans="1:12" x14ac:dyDescent="0.25">
      <c r="A110" s="3">
        <v>41746</v>
      </c>
      <c r="B110" s="3" t="str">
        <f t="shared" si="10"/>
        <v>Apr</v>
      </c>
      <c r="C110" s="3" t="str">
        <f t="shared" si="11"/>
        <v>2014</v>
      </c>
      <c r="D110" s="3" t="str">
        <f t="shared" si="12"/>
        <v>Thursday</v>
      </c>
      <c r="E110">
        <v>612236.00580000004</v>
      </c>
      <c r="F110">
        <v>627927.75870000001</v>
      </c>
      <c r="G110">
        <v>18366</v>
      </c>
      <c r="H110" s="1">
        <f t="shared" si="13"/>
        <v>33.335293792878147</v>
      </c>
      <c r="I110" s="1" t="str">
        <f t="shared" si="14"/>
        <v>Low</v>
      </c>
      <c r="J110">
        <f t="shared" si="15"/>
        <v>-2.5630235319949493</v>
      </c>
      <c r="K110">
        <f t="shared" si="16"/>
        <v>34.189685217249263</v>
      </c>
      <c r="L110">
        <f t="shared" si="17"/>
        <v>-2.5630235319949404</v>
      </c>
    </row>
    <row r="111" spans="1:12" x14ac:dyDescent="0.25">
      <c r="A111" s="3">
        <v>41747</v>
      </c>
      <c r="B111" s="3" t="str">
        <f t="shared" si="10"/>
        <v>Apr</v>
      </c>
      <c r="C111" s="3" t="str">
        <f t="shared" si="11"/>
        <v>2014</v>
      </c>
      <c r="D111" s="3" t="str">
        <f t="shared" si="12"/>
        <v>Friday</v>
      </c>
      <c r="E111">
        <v>464815.51789999998</v>
      </c>
      <c r="F111">
        <v>476692.54369999998</v>
      </c>
      <c r="G111">
        <v>13940</v>
      </c>
      <c r="H111" s="1">
        <f t="shared" si="13"/>
        <v>33.344011327116213</v>
      </c>
      <c r="I111" s="1" t="str">
        <f t="shared" si="14"/>
        <v>Low</v>
      </c>
      <c r="J111">
        <f t="shared" si="15"/>
        <v>-2.5552128409265409</v>
      </c>
      <c r="K111">
        <f t="shared" si="16"/>
        <v>34.196021786226687</v>
      </c>
      <c r="L111">
        <f t="shared" si="17"/>
        <v>-2.5552128409265418</v>
      </c>
    </row>
    <row r="112" spans="1:12" x14ac:dyDescent="0.25">
      <c r="A112" s="3">
        <v>41748</v>
      </c>
      <c r="B112" s="3" t="str">
        <f t="shared" si="10"/>
        <v>Apr</v>
      </c>
      <c r="C112" s="3" t="str">
        <f t="shared" si="11"/>
        <v>2014</v>
      </c>
      <c r="D112" s="3" t="str">
        <f t="shared" si="12"/>
        <v>Saturday</v>
      </c>
      <c r="E112">
        <v>360480.94040000002</v>
      </c>
      <c r="F112">
        <v>369765.6128</v>
      </c>
      <c r="G112">
        <v>10814</v>
      </c>
      <c r="H112" s="1">
        <f t="shared" si="13"/>
        <v>33.334653264287034</v>
      </c>
      <c r="I112" s="1" t="str">
        <f t="shared" si="14"/>
        <v>Low</v>
      </c>
      <c r="J112">
        <f t="shared" si="15"/>
        <v>-2.5756347588578308</v>
      </c>
      <c r="K112">
        <f t="shared" si="16"/>
        <v>34.193232180506747</v>
      </c>
      <c r="L112">
        <f t="shared" si="17"/>
        <v>-2.5756347588578299</v>
      </c>
    </row>
    <row r="113" spans="1:12" x14ac:dyDescent="0.25">
      <c r="A113" s="3">
        <v>41749</v>
      </c>
      <c r="B113" s="3" t="str">
        <f t="shared" si="10"/>
        <v>Apr</v>
      </c>
      <c r="C113" s="3" t="str">
        <f t="shared" si="11"/>
        <v>2014</v>
      </c>
      <c r="D113" s="3" t="str">
        <f t="shared" si="12"/>
        <v>Sunday</v>
      </c>
      <c r="E113">
        <v>114279.5773</v>
      </c>
      <c r="F113">
        <v>117190.8262</v>
      </c>
      <c r="G113">
        <v>3429</v>
      </c>
      <c r="H113" s="1">
        <f t="shared" si="13"/>
        <v>33.327377456984543</v>
      </c>
      <c r="I113" s="1" t="str">
        <f t="shared" si="14"/>
        <v>Low</v>
      </c>
      <c r="J113">
        <f t="shared" si="15"/>
        <v>-2.5474795836508499</v>
      </c>
      <c r="K113">
        <f t="shared" si="16"/>
        <v>34.176385593467479</v>
      </c>
      <c r="L113">
        <f t="shared" si="17"/>
        <v>-2.5474795836508481</v>
      </c>
    </row>
    <row r="114" spans="1:12" x14ac:dyDescent="0.25">
      <c r="A114" s="3">
        <v>41750</v>
      </c>
      <c r="B114" s="3" t="str">
        <f t="shared" si="10"/>
        <v>Apr</v>
      </c>
      <c r="C114" s="3" t="str">
        <f t="shared" si="11"/>
        <v>2014</v>
      </c>
      <c r="D114" s="3" t="str">
        <f t="shared" si="12"/>
        <v>Monday</v>
      </c>
      <c r="E114">
        <v>161170.8204</v>
      </c>
      <c r="F114">
        <v>165415.08379999999</v>
      </c>
      <c r="G114">
        <v>4834</v>
      </c>
      <c r="H114" s="1">
        <f t="shared" si="13"/>
        <v>33.341088208522962</v>
      </c>
      <c r="I114" s="1" t="str">
        <f t="shared" si="14"/>
        <v>Low</v>
      </c>
      <c r="J114">
        <f t="shared" si="15"/>
        <v>-2.6333944255333681</v>
      </c>
      <c r="K114">
        <f t="shared" si="16"/>
        <v>34.219090566818366</v>
      </c>
      <c r="L114">
        <f t="shared" si="17"/>
        <v>-2.633394425533361</v>
      </c>
    </row>
    <row r="115" spans="1:12" x14ac:dyDescent="0.25">
      <c r="A115" s="3">
        <v>41751</v>
      </c>
      <c r="B115" s="3" t="str">
        <f t="shared" si="10"/>
        <v>Apr</v>
      </c>
      <c r="C115" s="3" t="str">
        <f t="shared" si="11"/>
        <v>2014</v>
      </c>
      <c r="D115" s="3" t="str">
        <f t="shared" si="12"/>
        <v>Tuesday</v>
      </c>
      <c r="E115">
        <v>182483.1465</v>
      </c>
      <c r="F115">
        <v>187344.7372</v>
      </c>
      <c r="G115">
        <v>5475</v>
      </c>
      <c r="H115" s="1">
        <f t="shared" si="13"/>
        <v>33.330255068493152</v>
      </c>
      <c r="I115" s="1" t="str">
        <f t="shared" si="14"/>
        <v>Low</v>
      </c>
      <c r="J115">
        <f t="shared" si="15"/>
        <v>-2.6641313421236963</v>
      </c>
      <c r="K115">
        <f t="shared" si="16"/>
        <v>34.218216840182649</v>
      </c>
      <c r="L115">
        <f t="shared" si="17"/>
        <v>-2.6641313421236932</v>
      </c>
    </row>
    <row r="116" spans="1:12" x14ac:dyDescent="0.25">
      <c r="A116" s="3">
        <v>41752</v>
      </c>
      <c r="B116" s="3" t="str">
        <f t="shared" si="10"/>
        <v>Apr</v>
      </c>
      <c r="C116" s="3" t="str">
        <f t="shared" si="11"/>
        <v>2014</v>
      </c>
      <c r="D116" s="3" t="str">
        <f t="shared" si="12"/>
        <v>Wednesday</v>
      </c>
      <c r="E116">
        <v>109358.41250000001</v>
      </c>
      <c r="F116">
        <v>106849.8988</v>
      </c>
      <c r="G116">
        <v>3121</v>
      </c>
      <c r="H116" s="1">
        <f t="shared" si="13"/>
        <v>35.039542614546619</v>
      </c>
      <c r="I116" s="1" t="str">
        <f t="shared" si="14"/>
        <v>Low</v>
      </c>
      <c r="J116">
        <f t="shared" si="15"/>
        <v>2.293846118148442</v>
      </c>
      <c r="K116">
        <f t="shared" si="16"/>
        <v>34.235789426465878</v>
      </c>
      <c r="L116">
        <f t="shared" si="17"/>
        <v>2.2938461181484247</v>
      </c>
    </row>
    <row r="117" spans="1:12" x14ac:dyDescent="0.25">
      <c r="A117" s="3">
        <v>41753</v>
      </c>
      <c r="B117" s="3" t="str">
        <f t="shared" si="10"/>
        <v>Apr</v>
      </c>
      <c r="C117" s="3" t="str">
        <f t="shared" si="11"/>
        <v>2014</v>
      </c>
      <c r="D117" s="3" t="str">
        <f t="shared" si="12"/>
        <v>Thursday</v>
      </c>
      <c r="E117">
        <v>98430.114109999995</v>
      </c>
      <c r="F117">
        <v>96197.482229999994</v>
      </c>
      <c r="G117">
        <v>2809</v>
      </c>
      <c r="H117" s="1">
        <f t="shared" si="13"/>
        <v>35.040980459238163</v>
      </c>
      <c r="I117" s="1" t="str">
        <f t="shared" si="14"/>
        <v>Low</v>
      </c>
      <c r="J117">
        <f t="shared" si="15"/>
        <v>2.2682406702332338</v>
      </c>
      <c r="K117">
        <f t="shared" si="16"/>
        <v>34.24616668921324</v>
      </c>
      <c r="L117">
        <f t="shared" si="17"/>
        <v>2.2682406702332427</v>
      </c>
    </row>
    <row r="118" spans="1:12" x14ac:dyDescent="0.25">
      <c r="A118" s="3">
        <v>41754</v>
      </c>
      <c r="B118" s="3" t="str">
        <f t="shared" si="10"/>
        <v>Apr</v>
      </c>
      <c r="C118" s="3" t="str">
        <f t="shared" si="11"/>
        <v>2014</v>
      </c>
      <c r="D118" s="3" t="str">
        <f t="shared" si="12"/>
        <v>Friday</v>
      </c>
      <c r="E118">
        <v>295741.34700000001</v>
      </c>
      <c r="F118">
        <v>292327.02830000001</v>
      </c>
      <c r="G118">
        <v>8537</v>
      </c>
      <c r="H118" s="1">
        <f t="shared" si="13"/>
        <v>34.64230373667565</v>
      </c>
      <c r="I118" s="1" t="str">
        <f t="shared" si="14"/>
        <v>Low</v>
      </c>
      <c r="J118">
        <f t="shared" si="15"/>
        <v>1.1544948769033649</v>
      </c>
      <c r="K118">
        <f t="shared" si="16"/>
        <v>34.242360114794423</v>
      </c>
      <c r="L118">
        <f t="shared" si="17"/>
        <v>1.1544948769033776</v>
      </c>
    </row>
    <row r="119" spans="1:12" x14ac:dyDescent="0.25">
      <c r="A119" s="3">
        <v>41755</v>
      </c>
      <c r="B119" s="3" t="str">
        <f t="shared" si="10"/>
        <v>Apr</v>
      </c>
      <c r="C119" s="3" t="str">
        <f t="shared" si="11"/>
        <v>2014</v>
      </c>
      <c r="D119" s="3" t="str">
        <f t="shared" si="12"/>
        <v>Saturday</v>
      </c>
      <c r="E119">
        <v>285053.97989999998</v>
      </c>
      <c r="F119">
        <v>281159.58110000001</v>
      </c>
      <c r="G119">
        <v>8209</v>
      </c>
      <c r="H119" s="1">
        <f t="shared" si="13"/>
        <v>34.724568144719207</v>
      </c>
      <c r="I119" s="1" t="str">
        <f t="shared" si="14"/>
        <v>Low</v>
      </c>
      <c r="J119">
        <f t="shared" si="15"/>
        <v>1.3661969572802188</v>
      </c>
      <c r="K119">
        <f t="shared" si="16"/>
        <v>34.25016215129736</v>
      </c>
      <c r="L119">
        <f t="shared" si="17"/>
        <v>1.3661969572802102</v>
      </c>
    </row>
    <row r="120" spans="1:12" x14ac:dyDescent="0.25">
      <c r="A120" s="3">
        <v>41756</v>
      </c>
      <c r="B120" s="3" t="str">
        <f t="shared" si="10"/>
        <v>Apr</v>
      </c>
      <c r="C120" s="3" t="str">
        <f t="shared" si="11"/>
        <v>2014</v>
      </c>
      <c r="D120" s="3" t="str">
        <f t="shared" si="12"/>
        <v>Sunday</v>
      </c>
      <c r="E120">
        <v>124964.7965</v>
      </c>
      <c r="F120">
        <v>123042.159</v>
      </c>
      <c r="G120">
        <v>3592</v>
      </c>
      <c r="H120" s="1">
        <f t="shared" si="13"/>
        <v>34.789754036748327</v>
      </c>
      <c r="I120" s="1" t="str">
        <f t="shared" si="14"/>
        <v>Low</v>
      </c>
      <c r="J120">
        <f t="shared" si="15"/>
        <v>1.5385432968716091</v>
      </c>
      <c r="K120">
        <f t="shared" si="16"/>
        <v>34.254498608017819</v>
      </c>
      <c r="L120">
        <f t="shared" si="17"/>
        <v>1.5385432968716</v>
      </c>
    </row>
    <row r="121" spans="1:12" x14ac:dyDescent="0.25">
      <c r="A121" s="3">
        <v>41757</v>
      </c>
      <c r="B121" s="3" t="str">
        <f t="shared" si="10"/>
        <v>Apr</v>
      </c>
      <c r="C121" s="3" t="str">
        <f t="shared" si="11"/>
        <v>2014</v>
      </c>
      <c r="D121" s="3" t="str">
        <f t="shared" si="12"/>
        <v>Monday</v>
      </c>
      <c r="E121">
        <v>124175.80839999999</v>
      </c>
      <c r="F121">
        <v>122516.06570000001</v>
      </c>
      <c r="G121">
        <v>3576</v>
      </c>
      <c r="H121" s="1">
        <f t="shared" si="13"/>
        <v>34.724778635346752</v>
      </c>
      <c r="I121" s="1" t="str">
        <f t="shared" si="14"/>
        <v>Low</v>
      </c>
      <c r="J121">
        <f t="shared" si="15"/>
        <v>1.336607122905582</v>
      </c>
      <c r="K121">
        <f t="shared" si="16"/>
        <v>34.260644770693517</v>
      </c>
      <c r="L121">
        <f t="shared" si="17"/>
        <v>1.3366071229055654</v>
      </c>
    </row>
    <row r="122" spans="1:12" x14ac:dyDescent="0.25">
      <c r="A122" s="3">
        <v>41758</v>
      </c>
      <c r="B122" s="3" t="str">
        <f t="shared" si="10"/>
        <v>Apr</v>
      </c>
      <c r="C122" s="3" t="str">
        <f t="shared" si="11"/>
        <v>2014</v>
      </c>
      <c r="D122" s="3" t="str">
        <f t="shared" si="12"/>
        <v>Tuesday</v>
      </c>
      <c r="E122">
        <v>131842.5716</v>
      </c>
      <c r="F122">
        <v>130405.26390000001</v>
      </c>
      <c r="G122">
        <v>3807</v>
      </c>
      <c r="H122" s="1">
        <f t="shared" si="13"/>
        <v>34.631618492251114</v>
      </c>
      <c r="I122" s="1" t="str">
        <f t="shared" si="14"/>
        <v>Low</v>
      </c>
      <c r="J122">
        <f t="shared" si="15"/>
        <v>1.0901696489663968</v>
      </c>
      <c r="K122">
        <f t="shared" si="16"/>
        <v>34.25407509850276</v>
      </c>
      <c r="L122">
        <f t="shared" si="17"/>
        <v>1.0901696489663921</v>
      </c>
    </row>
    <row r="123" spans="1:12" x14ac:dyDescent="0.25">
      <c r="A123" s="3">
        <v>41759</v>
      </c>
      <c r="B123" s="3" t="str">
        <f t="shared" si="10"/>
        <v>Apr</v>
      </c>
      <c r="C123" s="3" t="str">
        <f t="shared" si="11"/>
        <v>2014</v>
      </c>
      <c r="D123" s="3" t="str">
        <f t="shared" si="12"/>
        <v>Wednesday</v>
      </c>
      <c r="E123">
        <v>154850.05729999999</v>
      </c>
      <c r="F123">
        <v>150644.34820000001</v>
      </c>
      <c r="G123">
        <v>4398</v>
      </c>
      <c r="H123" s="1">
        <f t="shared" si="13"/>
        <v>35.209199022282853</v>
      </c>
      <c r="I123" s="1" t="str">
        <f t="shared" si="14"/>
        <v>Medium</v>
      </c>
      <c r="J123">
        <f t="shared" si="15"/>
        <v>2.7159880812003925</v>
      </c>
      <c r="K123">
        <f t="shared" si="16"/>
        <v>34.252921373351526</v>
      </c>
      <c r="L123">
        <f t="shared" si="17"/>
        <v>2.7159880812003898</v>
      </c>
    </row>
    <row r="124" spans="1:12" x14ac:dyDescent="0.25">
      <c r="A124" s="3">
        <v>41760</v>
      </c>
      <c r="B124" s="3" t="str">
        <f t="shared" si="10"/>
        <v>May</v>
      </c>
      <c r="C124" s="3" t="str">
        <f t="shared" si="11"/>
        <v>2014</v>
      </c>
      <c r="D124" s="3" t="str">
        <f t="shared" si="12"/>
        <v>Thursday</v>
      </c>
      <c r="E124">
        <v>180294.26869999999</v>
      </c>
      <c r="F124">
        <v>175656.65040000001</v>
      </c>
      <c r="G124">
        <v>5124</v>
      </c>
      <c r="H124" s="1">
        <f t="shared" si="13"/>
        <v>35.186235109289612</v>
      </c>
      <c r="I124" s="1" t="str">
        <f t="shared" si="14"/>
        <v>Medium</v>
      </c>
      <c r="J124">
        <f t="shared" si="15"/>
        <v>2.5722494305776973</v>
      </c>
      <c r="K124">
        <f t="shared" si="16"/>
        <v>34.281157377049183</v>
      </c>
      <c r="L124">
        <f t="shared" si="17"/>
        <v>2.572249430577688</v>
      </c>
    </row>
    <row r="125" spans="1:12" x14ac:dyDescent="0.25">
      <c r="A125" s="3">
        <v>41761</v>
      </c>
      <c r="B125" s="3" t="str">
        <f t="shared" si="10"/>
        <v>May</v>
      </c>
      <c r="C125" s="3" t="str">
        <f t="shared" si="11"/>
        <v>2014</v>
      </c>
      <c r="D125" s="3" t="str">
        <f t="shared" si="12"/>
        <v>Friday</v>
      </c>
      <c r="E125">
        <v>163849.03580000001</v>
      </c>
      <c r="F125">
        <v>157300.6256</v>
      </c>
      <c r="G125">
        <v>4581</v>
      </c>
      <c r="H125" s="1">
        <f t="shared" si="13"/>
        <v>35.76708923815761</v>
      </c>
      <c r="I125" s="1" t="str">
        <f t="shared" si="14"/>
        <v>Medium</v>
      </c>
      <c r="J125">
        <f t="shared" si="15"/>
        <v>3.9966119837246019</v>
      </c>
      <c r="K125">
        <f t="shared" si="16"/>
        <v>34.337617463435933</v>
      </c>
      <c r="L125">
        <f t="shared" si="17"/>
        <v>3.9966119837245939</v>
      </c>
    </row>
    <row r="126" spans="1:12" x14ac:dyDescent="0.25">
      <c r="A126" s="3">
        <v>41762</v>
      </c>
      <c r="B126" s="3" t="str">
        <f t="shared" si="10"/>
        <v>May</v>
      </c>
      <c r="C126" s="3" t="str">
        <f t="shared" si="11"/>
        <v>2014</v>
      </c>
      <c r="D126" s="3" t="str">
        <f t="shared" si="12"/>
        <v>Saturday</v>
      </c>
      <c r="E126">
        <v>131436.79240000001</v>
      </c>
      <c r="F126">
        <v>127601.94469999999</v>
      </c>
      <c r="G126">
        <v>3697</v>
      </c>
      <c r="H126" s="1">
        <f t="shared" si="13"/>
        <v>35.552283581282126</v>
      </c>
      <c r="I126" s="1" t="str">
        <f t="shared" si="14"/>
        <v>Medium</v>
      </c>
      <c r="J126">
        <f t="shared" si="15"/>
        <v>2.9176364014799354</v>
      </c>
      <c r="K126">
        <f t="shared" si="16"/>
        <v>34.514997213957258</v>
      </c>
      <c r="L126">
        <f t="shared" si="17"/>
        <v>2.9176364014799514</v>
      </c>
    </row>
    <row r="127" spans="1:12" x14ac:dyDescent="0.25">
      <c r="A127" s="3">
        <v>41763</v>
      </c>
      <c r="B127" s="3" t="str">
        <f t="shared" si="10"/>
        <v>May</v>
      </c>
      <c r="C127" s="3" t="str">
        <f t="shared" si="11"/>
        <v>2014</v>
      </c>
      <c r="D127" s="3" t="str">
        <f t="shared" si="12"/>
        <v>Sunday</v>
      </c>
      <c r="E127">
        <v>93082.043959999995</v>
      </c>
      <c r="F127">
        <v>91601.506540000002</v>
      </c>
      <c r="G127">
        <v>2642</v>
      </c>
      <c r="H127" s="1">
        <f t="shared" si="13"/>
        <v>35.231659333838003</v>
      </c>
      <c r="I127" s="1" t="str">
        <f t="shared" si="14"/>
        <v>Medium</v>
      </c>
      <c r="J127">
        <f t="shared" si="15"/>
        <v>1.5905725282915169</v>
      </c>
      <c r="K127">
        <f t="shared" si="16"/>
        <v>34.671274239212721</v>
      </c>
      <c r="L127">
        <f t="shared" si="17"/>
        <v>1.5905725282915186</v>
      </c>
    </row>
    <row r="128" spans="1:12" x14ac:dyDescent="0.25">
      <c r="A128" s="3">
        <v>41764</v>
      </c>
      <c r="B128" s="3" t="str">
        <f t="shared" si="10"/>
        <v>May</v>
      </c>
      <c r="C128" s="3" t="str">
        <f t="shared" si="11"/>
        <v>2014</v>
      </c>
      <c r="D128" s="3" t="str">
        <f t="shared" si="12"/>
        <v>Monday</v>
      </c>
      <c r="E128">
        <v>110887.01330000001</v>
      </c>
      <c r="F128">
        <v>109460.1532</v>
      </c>
      <c r="G128">
        <v>3154</v>
      </c>
      <c r="H128" s="1">
        <f t="shared" si="13"/>
        <v>35.157581896005077</v>
      </c>
      <c r="I128" s="1" t="str">
        <f t="shared" si="14"/>
        <v>Medium</v>
      </c>
      <c r="J128">
        <f t="shared" si="15"/>
        <v>1.2867693497521637</v>
      </c>
      <c r="K128">
        <f t="shared" si="16"/>
        <v>34.705184908053269</v>
      </c>
      <c r="L128">
        <f t="shared" si="17"/>
        <v>1.2867693497521602</v>
      </c>
    </row>
    <row r="129" spans="1:12" x14ac:dyDescent="0.25">
      <c r="A129" s="3">
        <v>41765</v>
      </c>
      <c r="B129" s="3" t="str">
        <f t="shared" si="10"/>
        <v>May</v>
      </c>
      <c r="C129" s="3" t="str">
        <f t="shared" si="11"/>
        <v>2014</v>
      </c>
      <c r="D129" s="3" t="str">
        <f t="shared" si="12"/>
        <v>Tuesday</v>
      </c>
      <c r="E129">
        <v>119385.5754</v>
      </c>
      <c r="F129">
        <v>115693.1066</v>
      </c>
      <c r="G129">
        <v>3324</v>
      </c>
      <c r="H129" s="1">
        <f t="shared" si="13"/>
        <v>35.916238086642601</v>
      </c>
      <c r="I129" s="1" t="str">
        <f t="shared" si="14"/>
        <v>Medium</v>
      </c>
      <c r="J129">
        <f t="shared" si="15"/>
        <v>3.0928935825190171</v>
      </c>
      <c r="K129">
        <f t="shared" si="16"/>
        <v>34.805387063778582</v>
      </c>
      <c r="L129">
        <f t="shared" si="17"/>
        <v>3.0928935825190127</v>
      </c>
    </row>
    <row r="130" spans="1:12" x14ac:dyDescent="0.25">
      <c r="A130" s="3">
        <v>41766</v>
      </c>
      <c r="B130" s="3" t="str">
        <f t="shared" si="10"/>
        <v>May</v>
      </c>
      <c r="C130" s="3" t="str">
        <f t="shared" si="11"/>
        <v>2014</v>
      </c>
      <c r="D130" s="3" t="str">
        <f t="shared" si="12"/>
        <v>Wednesday</v>
      </c>
      <c r="E130">
        <v>91719.589380000005</v>
      </c>
      <c r="F130">
        <v>93157.170580000005</v>
      </c>
      <c r="G130">
        <v>2677</v>
      </c>
      <c r="H130" s="1">
        <f t="shared" si="13"/>
        <v>34.262080455734029</v>
      </c>
      <c r="I130" s="1" t="str">
        <f t="shared" si="14"/>
        <v>Low</v>
      </c>
      <c r="J130">
        <f t="shared" si="15"/>
        <v>-1.5673654992544848</v>
      </c>
      <c r="K130">
        <f t="shared" si="16"/>
        <v>34.799092484124024</v>
      </c>
      <c r="L130">
        <f t="shared" si="17"/>
        <v>-1.5673654992545027</v>
      </c>
    </row>
    <row r="131" spans="1:12" x14ac:dyDescent="0.25">
      <c r="A131" s="3">
        <v>41767</v>
      </c>
      <c r="B131" s="3" t="str">
        <f t="shared" ref="B131:B194" si="18">TEXT(A131,"mmm")</f>
        <v>May</v>
      </c>
      <c r="C131" s="3" t="str">
        <f t="shared" ref="C131:C194" si="19">TEXT(A131,"yyyy")</f>
        <v>2014</v>
      </c>
      <c r="D131" s="3" t="str">
        <f t="shared" ref="D131:D194" si="20">TEXT(A131,"dddd")</f>
        <v>Thursday</v>
      </c>
      <c r="E131">
        <v>96335.448950000005</v>
      </c>
      <c r="F131">
        <v>93696.216140000004</v>
      </c>
      <c r="G131">
        <v>2683</v>
      </c>
      <c r="H131" s="1">
        <f t="shared" ref="H131:H194" si="21">E131/G131</f>
        <v>35.905869903093553</v>
      </c>
      <c r="I131" s="1" t="str">
        <f t="shared" ref="I131:I194" si="22">IF(H131&lt;PERCENTILE(H131:H1183,0.33),"Low", IF(H131&gt;PERCENTILE(H131:H1183,0.67),"High","Medium"))</f>
        <v>Medium</v>
      </c>
      <c r="J131">
        <f t="shared" ref="J131:J194" si="23">(E131-F131)/E131 *100</f>
        <v>2.7396278719475475</v>
      </c>
      <c r="K131">
        <f t="shared" ref="K131:K194" si="24">F131/G131</f>
        <v>34.922182683563179</v>
      </c>
      <c r="L131">
        <f t="shared" ref="L131:L194" si="25">(H131-K131)/H131 *100</f>
        <v>2.73962787194754</v>
      </c>
    </row>
    <row r="132" spans="1:12" x14ac:dyDescent="0.25">
      <c r="A132" s="3">
        <v>41768</v>
      </c>
      <c r="B132" s="3" t="str">
        <f t="shared" si="18"/>
        <v>May</v>
      </c>
      <c r="C132" s="3" t="str">
        <f t="shared" si="19"/>
        <v>2014</v>
      </c>
      <c r="D132" s="3" t="str">
        <f t="shared" si="20"/>
        <v>Friday</v>
      </c>
      <c r="E132">
        <v>303226.29840000003</v>
      </c>
      <c r="F132">
        <v>325836.94010000001</v>
      </c>
      <c r="G132">
        <v>9328</v>
      </c>
      <c r="H132" s="1">
        <f t="shared" si="21"/>
        <v>32.50710746140652</v>
      </c>
      <c r="I132" s="1" t="str">
        <f t="shared" si="22"/>
        <v>Low</v>
      </c>
      <c r="J132">
        <f t="shared" si="23"/>
        <v>-7.4566888885650746</v>
      </c>
      <c r="K132">
        <f t="shared" si="24"/>
        <v>34.931061331475128</v>
      </c>
      <c r="L132">
        <f t="shared" si="25"/>
        <v>-7.4566888885650746</v>
      </c>
    </row>
    <row r="133" spans="1:12" x14ac:dyDescent="0.25">
      <c r="A133" s="3">
        <v>41769</v>
      </c>
      <c r="B133" s="3" t="str">
        <f t="shared" si="18"/>
        <v>May</v>
      </c>
      <c r="C133" s="3" t="str">
        <f t="shared" si="19"/>
        <v>2014</v>
      </c>
      <c r="D133" s="3" t="str">
        <f t="shared" si="20"/>
        <v>Saturday</v>
      </c>
      <c r="E133">
        <v>431695.70919999998</v>
      </c>
      <c r="F133">
        <v>465253.81569999998</v>
      </c>
      <c r="G133">
        <v>13306</v>
      </c>
      <c r="H133" s="1">
        <f t="shared" si="21"/>
        <v>32.443687749887268</v>
      </c>
      <c r="I133" s="1" t="str">
        <f t="shared" si="22"/>
        <v>Low</v>
      </c>
      <c r="J133">
        <f t="shared" si="23"/>
        <v>-7.7735557210398136</v>
      </c>
      <c r="K133">
        <f t="shared" si="24"/>
        <v>34.965715895084919</v>
      </c>
      <c r="L133">
        <f t="shared" si="25"/>
        <v>-7.7735557210398039</v>
      </c>
    </row>
    <row r="134" spans="1:12" x14ac:dyDescent="0.25">
      <c r="A134" s="3">
        <v>41770</v>
      </c>
      <c r="B134" s="3" t="str">
        <f t="shared" si="18"/>
        <v>May</v>
      </c>
      <c r="C134" s="3" t="str">
        <f t="shared" si="19"/>
        <v>2014</v>
      </c>
      <c r="D134" s="3" t="str">
        <f t="shared" si="20"/>
        <v>Sunday</v>
      </c>
      <c r="E134">
        <v>200407.27710000001</v>
      </c>
      <c r="F134">
        <v>215907.82490000001</v>
      </c>
      <c r="G134">
        <v>6173</v>
      </c>
      <c r="H134" s="1">
        <f t="shared" si="21"/>
        <v>32.465134796695288</v>
      </c>
      <c r="I134" s="1" t="str">
        <f t="shared" si="22"/>
        <v>Low</v>
      </c>
      <c r="J134">
        <f t="shared" si="23"/>
        <v>-7.7345234286405065</v>
      </c>
      <c r="K134">
        <f t="shared" si="24"/>
        <v>34.976158253685405</v>
      </c>
      <c r="L134">
        <f t="shared" si="25"/>
        <v>-7.7345234286405011</v>
      </c>
    </row>
    <row r="135" spans="1:12" x14ac:dyDescent="0.25">
      <c r="A135" s="3">
        <v>41771</v>
      </c>
      <c r="B135" s="3" t="str">
        <f t="shared" si="18"/>
        <v>May</v>
      </c>
      <c r="C135" s="3" t="str">
        <f t="shared" si="19"/>
        <v>2014</v>
      </c>
      <c r="D135" s="3" t="str">
        <f t="shared" si="20"/>
        <v>Monday</v>
      </c>
      <c r="E135">
        <v>183413.7083</v>
      </c>
      <c r="F135">
        <v>197835.4951</v>
      </c>
      <c r="G135">
        <v>5653</v>
      </c>
      <c r="H135" s="1">
        <f t="shared" si="21"/>
        <v>32.445375605872989</v>
      </c>
      <c r="I135" s="1" t="str">
        <f t="shared" si="22"/>
        <v>Low</v>
      </c>
      <c r="J135">
        <f t="shared" si="23"/>
        <v>-7.8629819622920749</v>
      </c>
      <c r="K135">
        <f t="shared" si="24"/>
        <v>34.996549637360694</v>
      </c>
      <c r="L135">
        <f t="shared" si="25"/>
        <v>-7.8629819622920687</v>
      </c>
    </row>
    <row r="136" spans="1:12" x14ac:dyDescent="0.25">
      <c r="A136" s="3">
        <v>41772</v>
      </c>
      <c r="B136" s="3" t="str">
        <f t="shared" si="18"/>
        <v>May</v>
      </c>
      <c r="C136" s="3" t="str">
        <f t="shared" si="19"/>
        <v>2014</v>
      </c>
      <c r="D136" s="3" t="str">
        <f t="shared" si="20"/>
        <v>Tuesday</v>
      </c>
      <c r="E136">
        <v>146166.6011</v>
      </c>
      <c r="F136">
        <v>157693.1893</v>
      </c>
      <c r="G136">
        <v>4503</v>
      </c>
      <c r="H136" s="1">
        <f t="shared" si="21"/>
        <v>32.459827026426829</v>
      </c>
      <c r="I136" s="1" t="str">
        <f t="shared" si="22"/>
        <v>Low</v>
      </c>
      <c r="J136">
        <f t="shared" si="23"/>
        <v>-7.8859247688971523</v>
      </c>
      <c r="K136">
        <f t="shared" si="24"/>
        <v>35.019584565844994</v>
      </c>
      <c r="L136">
        <f t="shared" si="25"/>
        <v>-7.8859247688971497</v>
      </c>
    </row>
    <row r="137" spans="1:12" x14ac:dyDescent="0.25">
      <c r="A137" s="3">
        <v>41773</v>
      </c>
      <c r="B137" s="3" t="str">
        <f t="shared" si="18"/>
        <v>May</v>
      </c>
      <c r="C137" s="3" t="str">
        <f t="shared" si="19"/>
        <v>2014</v>
      </c>
      <c r="D137" s="3" t="str">
        <f t="shared" si="20"/>
        <v>Wednesday</v>
      </c>
      <c r="E137">
        <v>201120.72760000001</v>
      </c>
      <c r="F137">
        <v>218098.76190000001</v>
      </c>
      <c r="G137">
        <v>6253</v>
      </c>
      <c r="H137" s="1">
        <f t="shared" si="21"/>
        <v>32.163877754677756</v>
      </c>
      <c r="I137" s="1" t="str">
        <f t="shared" si="22"/>
        <v>Low</v>
      </c>
      <c r="J137">
        <f t="shared" si="23"/>
        <v>-8.4417128471048741</v>
      </c>
      <c r="K137">
        <f t="shared" si="24"/>
        <v>34.879059955221493</v>
      </c>
      <c r="L137">
        <f t="shared" si="25"/>
        <v>-8.4417128471048688</v>
      </c>
    </row>
    <row r="138" spans="1:12" x14ac:dyDescent="0.25">
      <c r="A138" s="3">
        <v>41774</v>
      </c>
      <c r="B138" s="3" t="str">
        <f t="shared" si="18"/>
        <v>May</v>
      </c>
      <c r="C138" s="3" t="str">
        <f t="shared" si="19"/>
        <v>2014</v>
      </c>
      <c r="D138" s="3" t="str">
        <f t="shared" si="20"/>
        <v>Thursday</v>
      </c>
      <c r="E138">
        <v>270123.55080000003</v>
      </c>
      <c r="F138">
        <v>289864.79849999998</v>
      </c>
      <c r="G138">
        <v>8408</v>
      </c>
      <c r="H138" s="1">
        <f t="shared" si="21"/>
        <v>32.126968458610847</v>
      </c>
      <c r="I138" s="1" t="str">
        <f t="shared" si="22"/>
        <v>Low</v>
      </c>
      <c r="J138">
        <f t="shared" si="23"/>
        <v>-7.3082290091086524</v>
      </c>
      <c r="K138">
        <f t="shared" si="24"/>
        <v>34.474880887250237</v>
      </c>
      <c r="L138">
        <f t="shared" si="25"/>
        <v>-7.3082290091086675</v>
      </c>
    </row>
    <row r="139" spans="1:12" x14ac:dyDescent="0.25">
      <c r="A139" s="3">
        <v>41775</v>
      </c>
      <c r="B139" s="3" t="str">
        <f t="shared" si="18"/>
        <v>May</v>
      </c>
      <c r="C139" s="3" t="str">
        <f t="shared" si="19"/>
        <v>2014</v>
      </c>
      <c r="D139" s="3" t="str">
        <f t="shared" si="20"/>
        <v>Friday</v>
      </c>
      <c r="E139">
        <v>415315.38390000002</v>
      </c>
      <c r="F139">
        <v>441790.7672</v>
      </c>
      <c r="G139">
        <v>12949</v>
      </c>
      <c r="H139" s="1">
        <f t="shared" si="21"/>
        <v>32.073162707544988</v>
      </c>
      <c r="I139" s="1" t="str">
        <f t="shared" si="22"/>
        <v>Low</v>
      </c>
      <c r="J139">
        <f t="shared" si="23"/>
        <v>-6.374765858992296</v>
      </c>
      <c r="K139">
        <f t="shared" si="24"/>
        <v>34.11775173372461</v>
      </c>
      <c r="L139">
        <f t="shared" si="25"/>
        <v>-6.3747658589922818</v>
      </c>
    </row>
    <row r="140" spans="1:12" x14ac:dyDescent="0.25">
      <c r="A140" s="3">
        <v>41776</v>
      </c>
      <c r="B140" s="3" t="str">
        <f t="shared" si="18"/>
        <v>May</v>
      </c>
      <c r="C140" s="3" t="str">
        <f t="shared" si="19"/>
        <v>2014</v>
      </c>
      <c r="D140" s="3" t="str">
        <f t="shared" si="20"/>
        <v>Saturday</v>
      </c>
      <c r="E140">
        <v>498716.9976</v>
      </c>
      <c r="F140">
        <v>526707.37699999998</v>
      </c>
      <c r="G140">
        <v>15508</v>
      </c>
      <c r="H140" s="1">
        <f t="shared" si="21"/>
        <v>32.1586921330926</v>
      </c>
      <c r="I140" s="1" t="str">
        <f t="shared" si="22"/>
        <v>Low</v>
      </c>
      <c r="J140">
        <f t="shared" si="23"/>
        <v>-5.6124775242671561</v>
      </c>
      <c r="K140">
        <f t="shared" si="24"/>
        <v>33.963591501160693</v>
      </c>
      <c r="L140">
        <f t="shared" si="25"/>
        <v>-5.6124775242671561</v>
      </c>
    </row>
    <row r="141" spans="1:12" x14ac:dyDescent="0.25">
      <c r="A141" s="3">
        <v>41777</v>
      </c>
      <c r="B141" s="3" t="str">
        <f t="shared" si="18"/>
        <v>May</v>
      </c>
      <c r="C141" s="3" t="str">
        <f t="shared" si="19"/>
        <v>2014</v>
      </c>
      <c r="D141" s="3" t="str">
        <f t="shared" si="20"/>
        <v>Sunday</v>
      </c>
      <c r="E141">
        <v>166433.1721</v>
      </c>
      <c r="F141">
        <v>174376.63250000001</v>
      </c>
      <c r="G141">
        <v>5141</v>
      </c>
      <c r="H141" s="1">
        <f t="shared" si="21"/>
        <v>32.373696187512159</v>
      </c>
      <c r="I141" s="1" t="str">
        <f t="shared" si="22"/>
        <v>Low</v>
      </c>
      <c r="J141">
        <f t="shared" si="23"/>
        <v>-4.7727627249856468</v>
      </c>
      <c r="K141">
        <f t="shared" si="24"/>
        <v>33.918815891849839</v>
      </c>
      <c r="L141">
        <f t="shared" si="25"/>
        <v>-4.7727627249856459</v>
      </c>
    </row>
    <row r="142" spans="1:12" x14ac:dyDescent="0.25">
      <c r="A142" s="3">
        <v>41778</v>
      </c>
      <c r="B142" s="3" t="str">
        <f t="shared" si="18"/>
        <v>May</v>
      </c>
      <c r="C142" s="3" t="str">
        <f t="shared" si="19"/>
        <v>2014</v>
      </c>
      <c r="D142" s="3" t="str">
        <f t="shared" si="20"/>
        <v>Monday</v>
      </c>
      <c r="E142">
        <v>168520.62940000001</v>
      </c>
      <c r="F142">
        <v>175540.11550000001</v>
      </c>
      <c r="G142">
        <v>5194</v>
      </c>
      <c r="H142" s="1">
        <f t="shared" si="21"/>
        <v>32.445250173276861</v>
      </c>
      <c r="I142" s="1" t="str">
        <f t="shared" si="22"/>
        <v>Low</v>
      </c>
      <c r="J142">
        <f t="shared" si="23"/>
        <v>-4.1653571583444426</v>
      </c>
      <c r="K142">
        <f t="shared" si="24"/>
        <v>33.796710723912206</v>
      </c>
      <c r="L142">
        <f t="shared" si="25"/>
        <v>-4.1653571583444249</v>
      </c>
    </row>
    <row r="143" spans="1:12" x14ac:dyDescent="0.25">
      <c r="A143" s="3">
        <v>41779</v>
      </c>
      <c r="B143" s="3" t="str">
        <f t="shared" si="18"/>
        <v>May</v>
      </c>
      <c r="C143" s="3" t="str">
        <f t="shared" si="19"/>
        <v>2014</v>
      </c>
      <c r="D143" s="3" t="str">
        <f t="shared" si="20"/>
        <v>Tuesday</v>
      </c>
      <c r="E143">
        <v>178123.53210000001</v>
      </c>
      <c r="F143">
        <v>187748.1722</v>
      </c>
      <c r="G143">
        <v>5550</v>
      </c>
      <c r="H143" s="1">
        <f t="shared" si="21"/>
        <v>32.09433010810811</v>
      </c>
      <c r="I143" s="1" t="str">
        <f t="shared" si="22"/>
        <v>Low</v>
      </c>
      <c r="J143">
        <f t="shared" si="23"/>
        <v>-5.40335125097151</v>
      </c>
      <c r="K143">
        <f t="shared" si="24"/>
        <v>33.828499495495493</v>
      </c>
      <c r="L143">
        <f t="shared" si="25"/>
        <v>-5.4033512509715003</v>
      </c>
    </row>
    <row r="144" spans="1:12" x14ac:dyDescent="0.25">
      <c r="A144" s="3">
        <v>41780</v>
      </c>
      <c r="B144" s="3" t="str">
        <f t="shared" si="18"/>
        <v>May</v>
      </c>
      <c r="C144" s="3" t="str">
        <f t="shared" si="19"/>
        <v>2014</v>
      </c>
      <c r="D144" s="3" t="str">
        <f t="shared" si="20"/>
        <v>Wednesday</v>
      </c>
      <c r="E144">
        <v>194878.8026</v>
      </c>
      <c r="F144">
        <v>204460.6654</v>
      </c>
      <c r="G144">
        <v>6070</v>
      </c>
      <c r="H144" s="1">
        <f t="shared" si="21"/>
        <v>32.105239308072484</v>
      </c>
      <c r="I144" s="1" t="str">
        <f t="shared" si="22"/>
        <v>Low</v>
      </c>
      <c r="J144">
        <f t="shared" si="23"/>
        <v>-4.9168317293427393</v>
      </c>
      <c r="K144">
        <f t="shared" si="24"/>
        <v>33.683799901153215</v>
      </c>
      <c r="L144">
        <f t="shared" si="25"/>
        <v>-4.9168317293427561</v>
      </c>
    </row>
    <row r="145" spans="1:12" x14ac:dyDescent="0.25">
      <c r="A145" s="3">
        <v>41781</v>
      </c>
      <c r="B145" s="3" t="str">
        <f t="shared" si="18"/>
        <v>May</v>
      </c>
      <c r="C145" s="3" t="str">
        <f t="shared" si="19"/>
        <v>2014</v>
      </c>
      <c r="D145" s="3" t="str">
        <f t="shared" si="20"/>
        <v>Thursday</v>
      </c>
      <c r="E145">
        <v>115475.0969</v>
      </c>
      <c r="F145">
        <v>115011.3226</v>
      </c>
      <c r="G145">
        <v>3421</v>
      </c>
      <c r="H145" s="1">
        <f t="shared" si="21"/>
        <v>33.754778398129204</v>
      </c>
      <c r="I145" s="1" t="str">
        <f t="shared" si="22"/>
        <v>Low</v>
      </c>
      <c r="J145">
        <f t="shared" si="23"/>
        <v>0.40162278486904179</v>
      </c>
      <c r="K145">
        <f t="shared" si="24"/>
        <v>33.619211517100261</v>
      </c>
      <c r="L145">
        <f t="shared" si="25"/>
        <v>0.4016227848690499</v>
      </c>
    </row>
    <row r="146" spans="1:12" x14ac:dyDescent="0.25">
      <c r="A146" s="3">
        <v>41782</v>
      </c>
      <c r="B146" s="3" t="str">
        <f t="shared" si="18"/>
        <v>May</v>
      </c>
      <c r="C146" s="3" t="str">
        <f t="shared" si="19"/>
        <v>2014</v>
      </c>
      <c r="D146" s="3" t="str">
        <f t="shared" si="20"/>
        <v>Friday</v>
      </c>
      <c r="E146">
        <v>430521.0245</v>
      </c>
      <c r="F146">
        <v>449274.1863</v>
      </c>
      <c r="G146">
        <v>13384</v>
      </c>
      <c r="H146" s="1">
        <f t="shared" si="21"/>
        <v>32.166842834728037</v>
      </c>
      <c r="I146" s="1" t="str">
        <f t="shared" si="22"/>
        <v>Low</v>
      </c>
      <c r="J146">
        <f t="shared" si="23"/>
        <v>-4.3559224132618413</v>
      </c>
      <c r="K146">
        <f t="shared" si="24"/>
        <v>33.56800555140466</v>
      </c>
      <c r="L146">
        <f t="shared" si="25"/>
        <v>-4.3559224132618226</v>
      </c>
    </row>
    <row r="147" spans="1:12" x14ac:dyDescent="0.25">
      <c r="A147" s="3">
        <v>41783</v>
      </c>
      <c r="B147" s="3" t="str">
        <f t="shared" si="18"/>
        <v>May</v>
      </c>
      <c r="C147" s="3" t="str">
        <f t="shared" si="19"/>
        <v>2014</v>
      </c>
      <c r="D147" s="3" t="str">
        <f t="shared" si="20"/>
        <v>Saturday</v>
      </c>
      <c r="E147">
        <v>590642.82570000004</v>
      </c>
      <c r="F147">
        <v>614245.79410000006</v>
      </c>
      <c r="G147">
        <v>18356</v>
      </c>
      <c r="H147" s="1">
        <f t="shared" si="21"/>
        <v>32.177098806929614</v>
      </c>
      <c r="I147" s="1" t="str">
        <f t="shared" si="22"/>
        <v>Low</v>
      </c>
      <c r="J147">
        <f t="shared" si="23"/>
        <v>-3.9961491739152111</v>
      </c>
      <c r="K147">
        <f t="shared" si="24"/>
        <v>33.462943675092617</v>
      </c>
      <c r="L147">
        <f t="shared" si="25"/>
        <v>-3.9961491739152253</v>
      </c>
    </row>
    <row r="148" spans="1:12" x14ac:dyDescent="0.25">
      <c r="A148" s="3">
        <v>41784</v>
      </c>
      <c r="B148" s="3" t="str">
        <f t="shared" si="18"/>
        <v>May</v>
      </c>
      <c r="C148" s="3" t="str">
        <f t="shared" si="19"/>
        <v>2014</v>
      </c>
      <c r="D148" s="3" t="str">
        <f t="shared" si="20"/>
        <v>Sunday</v>
      </c>
      <c r="E148">
        <v>210764.71799999999</v>
      </c>
      <c r="F148">
        <v>217364.46299999999</v>
      </c>
      <c r="G148">
        <v>6500</v>
      </c>
      <c r="H148" s="1">
        <f t="shared" si="21"/>
        <v>32.425341230769227</v>
      </c>
      <c r="I148" s="1" t="str">
        <f t="shared" si="22"/>
        <v>Low</v>
      </c>
      <c r="J148">
        <f t="shared" si="23"/>
        <v>-3.1313329207215772</v>
      </c>
      <c r="K148">
        <f t="shared" si="24"/>
        <v>33.440686615384614</v>
      </c>
      <c r="L148">
        <f t="shared" si="25"/>
        <v>-3.1313329207215856</v>
      </c>
    </row>
    <row r="149" spans="1:12" x14ac:dyDescent="0.25">
      <c r="A149" s="3">
        <v>41785</v>
      </c>
      <c r="B149" s="3" t="str">
        <f t="shared" si="18"/>
        <v>May</v>
      </c>
      <c r="C149" s="3" t="str">
        <f t="shared" si="19"/>
        <v>2014</v>
      </c>
      <c r="D149" s="3" t="str">
        <f t="shared" si="20"/>
        <v>Monday</v>
      </c>
      <c r="E149">
        <v>218189.34849999999</v>
      </c>
      <c r="F149">
        <v>225607.59520000001</v>
      </c>
      <c r="G149">
        <v>6752</v>
      </c>
      <c r="H149" s="1">
        <f t="shared" si="21"/>
        <v>32.314773178317537</v>
      </c>
      <c r="I149" s="1" t="str">
        <f t="shared" si="22"/>
        <v>Low</v>
      </c>
      <c r="J149">
        <f t="shared" si="23"/>
        <v>-3.3999123930653372</v>
      </c>
      <c r="K149">
        <f t="shared" si="24"/>
        <v>33.413447156398107</v>
      </c>
      <c r="L149">
        <f t="shared" si="25"/>
        <v>-3.3999123930653306</v>
      </c>
    </row>
    <row r="150" spans="1:12" x14ac:dyDescent="0.25">
      <c r="A150" s="3">
        <v>41786</v>
      </c>
      <c r="B150" s="3" t="str">
        <f t="shared" si="18"/>
        <v>May</v>
      </c>
      <c r="C150" s="3" t="str">
        <f t="shared" si="19"/>
        <v>2014</v>
      </c>
      <c r="D150" s="3" t="str">
        <f t="shared" si="20"/>
        <v>Tuesday</v>
      </c>
      <c r="E150">
        <v>226132.4639</v>
      </c>
      <c r="F150">
        <v>234496.5128</v>
      </c>
      <c r="G150">
        <v>7023</v>
      </c>
      <c r="H150" s="1">
        <f t="shared" si="21"/>
        <v>32.198841506478715</v>
      </c>
      <c r="I150" s="1" t="str">
        <f t="shared" si="22"/>
        <v>Low</v>
      </c>
      <c r="J150">
        <f t="shared" si="23"/>
        <v>-3.698738675442343</v>
      </c>
      <c r="K150">
        <f t="shared" si="24"/>
        <v>33.389792510323225</v>
      </c>
      <c r="L150">
        <f t="shared" si="25"/>
        <v>-3.6987386754423444</v>
      </c>
    </row>
    <row r="151" spans="1:12" x14ac:dyDescent="0.25">
      <c r="A151" s="3">
        <v>41787</v>
      </c>
      <c r="B151" s="3" t="str">
        <f t="shared" si="18"/>
        <v>May</v>
      </c>
      <c r="C151" s="3" t="str">
        <f t="shared" si="19"/>
        <v>2014</v>
      </c>
      <c r="D151" s="3" t="str">
        <f t="shared" si="20"/>
        <v>Wednesday</v>
      </c>
      <c r="E151">
        <v>243720.86799999999</v>
      </c>
      <c r="F151">
        <v>252929.2947</v>
      </c>
      <c r="G151">
        <v>7579</v>
      </c>
      <c r="H151" s="1">
        <f t="shared" si="21"/>
        <v>32.157391212561024</v>
      </c>
      <c r="I151" s="1" t="str">
        <f t="shared" si="22"/>
        <v>Low</v>
      </c>
      <c r="J151">
        <f t="shared" si="23"/>
        <v>-3.7782676450996435</v>
      </c>
      <c r="K151">
        <f t="shared" si="24"/>
        <v>33.372383520253329</v>
      </c>
      <c r="L151">
        <f t="shared" si="25"/>
        <v>-3.7782676450996338</v>
      </c>
    </row>
    <row r="152" spans="1:12" x14ac:dyDescent="0.25">
      <c r="A152" s="3">
        <v>41788</v>
      </c>
      <c r="B152" s="3" t="str">
        <f t="shared" si="18"/>
        <v>May</v>
      </c>
      <c r="C152" s="3" t="str">
        <f t="shared" si="19"/>
        <v>2014</v>
      </c>
      <c r="D152" s="3" t="str">
        <f t="shared" si="20"/>
        <v>Thursday</v>
      </c>
      <c r="E152">
        <v>207429.429</v>
      </c>
      <c r="F152">
        <v>215118.84650000001</v>
      </c>
      <c r="G152">
        <v>6448</v>
      </c>
      <c r="H152" s="1">
        <f t="shared" si="21"/>
        <v>32.169576457816376</v>
      </c>
      <c r="I152" s="1" t="str">
        <f t="shared" si="22"/>
        <v>Low</v>
      </c>
      <c r="J152">
        <f t="shared" si="23"/>
        <v>-3.7070041300648859</v>
      </c>
      <c r="K152">
        <f t="shared" si="24"/>
        <v>33.362103985732013</v>
      </c>
      <c r="L152">
        <f t="shared" si="25"/>
        <v>-3.7070041300648935</v>
      </c>
    </row>
    <row r="153" spans="1:12" x14ac:dyDescent="0.25">
      <c r="A153" s="3">
        <v>41789</v>
      </c>
      <c r="B153" s="3" t="str">
        <f t="shared" si="18"/>
        <v>May</v>
      </c>
      <c r="C153" s="3" t="str">
        <f t="shared" si="19"/>
        <v>2014</v>
      </c>
      <c r="D153" s="3" t="str">
        <f t="shared" si="20"/>
        <v>Friday</v>
      </c>
      <c r="E153">
        <v>503149.4313</v>
      </c>
      <c r="F153">
        <v>521651.08610000001</v>
      </c>
      <c r="G153">
        <v>15637</v>
      </c>
      <c r="H153" s="1">
        <f t="shared" si="21"/>
        <v>32.17685178103217</v>
      </c>
      <c r="I153" s="1" t="str">
        <f t="shared" si="22"/>
        <v>Low</v>
      </c>
      <c r="J153">
        <f t="shared" si="23"/>
        <v>-3.6771689778515344</v>
      </c>
      <c r="K153">
        <f t="shared" si="24"/>
        <v>33.36004899277355</v>
      </c>
      <c r="L153">
        <f t="shared" si="25"/>
        <v>-3.677168977851522</v>
      </c>
    </row>
    <row r="154" spans="1:12" x14ac:dyDescent="0.25">
      <c r="A154" s="3">
        <v>41790</v>
      </c>
      <c r="B154" s="3" t="str">
        <f t="shared" si="18"/>
        <v>May</v>
      </c>
      <c r="C154" s="3" t="str">
        <f t="shared" si="19"/>
        <v>2014</v>
      </c>
      <c r="D154" s="3" t="str">
        <f t="shared" si="20"/>
        <v>Saturday</v>
      </c>
      <c r="E154">
        <v>603748.78949999996</v>
      </c>
      <c r="F154">
        <v>626259.38679999998</v>
      </c>
      <c r="G154">
        <v>18775</v>
      </c>
      <c r="H154" s="1">
        <f t="shared" si="21"/>
        <v>32.157059360852195</v>
      </c>
      <c r="I154" s="1" t="str">
        <f t="shared" si="22"/>
        <v>Low</v>
      </c>
      <c r="J154">
        <f t="shared" si="23"/>
        <v>-3.728470796379133</v>
      </c>
      <c r="K154">
        <f t="shared" si="24"/>
        <v>33.356025928095868</v>
      </c>
      <c r="L154">
        <f t="shared" si="25"/>
        <v>-3.7284707963791219</v>
      </c>
    </row>
    <row r="155" spans="1:12" x14ac:dyDescent="0.25">
      <c r="A155" s="3">
        <v>41791</v>
      </c>
      <c r="B155" s="3" t="str">
        <f t="shared" si="18"/>
        <v>Jun</v>
      </c>
      <c r="C155" s="3" t="str">
        <f t="shared" si="19"/>
        <v>2014</v>
      </c>
      <c r="D155" s="3" t="str">
        <f t="shared" si="20"/>
        <v>Sunday</v>
      </c>
      <c r="E155">
        <v>456017.46309999999</v>
      </c>
      <c r="F155">
        <v>473223.98070000001</v>
      </c>
      <c r="G155">
        <v>14188</v>
      </c>
      <c r="H155" s="1">
        <f t="shared" si="21"/>
        <v>32.141067317451366</v>
      </c>
      <c r="I155" s="1" t="str">
        <f t="shared" si="22"/>
        <v>Low</v>
      </c>
      <c r="J155">
        <f t="shared" si="23"/>
        <v>-3.7732146227537795</v>
      </c>
      <c r="K155">
        <f t="shared" si="24"/>
        <v>33.353818769382578</v>
      </c>
      <c r="L155">
        <f t="shared" si="25"/>
        <v>-3.7732146227537817</v>
      </c>
    </row>
    <row r="156" spans="1:12" x14ac:dyDescent="0.25">
      <c r="A156" s="3">
        <v>41792</v>
      </c>
      <c r="B156" s="3" t="str">
        <f t="shared" si="18"/>
        <v>Jun</v>
      </c>
      <c r="C156" s="3" t="str">
        <f t="shared" si="19"/>
        <v>2014</v>
      </c>
      <c r="D156" s="3" t="str">
        <f t="shared" si="20"/>
        <v>Monday</v>
      </c>
      <c r="E156">
        <v>425845.196</v>
      </c>
      <c r="F156">
        <v>442155.99119999999</v>
      </c>
      <c r="G156">
        <v>13256</v>
      </c>
      <c r="H156" s="1">
        <f t="shared" si="21"/>
        <v>32.124713035606518</v>
      </c>
      <c r="I156" s="1" t="str">
        <f t="shared" si="22"/>
        <v>Low</v>
      </c>
      <c r="J156">
        <f t="shared" si="23"/>
        <v>-3.8302170256254326</v>
      </c>
      <c r="K156">
        <f t="shared" si="24"/>
        <v>33.355159263729632</v>
      </c>
      <c r="L156">
        <f t="shared" si="25"/>
        <v>-3.8302170256254335</v>
      </c>
    </row>
    <row r="157" spans="1:12" x14ac:dyDescent="0.25">
      <c r="A157" s="3">
        <v>41793</v>
      </c>
      <c r="B157" s="3" t="str">
        <f t="shared" si="18"/>
        <v>Jun</v>
      </c>
      <c r="C157" s="3" t="str">
        <f t="shared" si="19"/>
        <v>2014</v>
      </c>
      <c r="D157" s="3" t="str">
        <f t="shared" si="20"/>
        <v>Tuesday</v>
      </c>
      <c r="E157">
        <v>328217.77</v>
      </c>
      <c r="F157">
        <v>340913.59169999999</v>
      </c>
      <c r="G157">
        <v>10223</v>
      </c>
      <c r="H157" s="1">
        <f t="shared" si="21"/>
        <v>32.105817274772576</v>
      </c>
      <c r="I157" s="1" t="str">
        <f t="shared" si="22"/>
        <v>Low</v>
      </c>
      <c r="J157">
        <f t="shared" si="23"/>
        <v>-3.8681091825101275</v>
      </c>
      <c r="K157">
        <f t="shared" si="24"/>
        <v>33.347705340897974</v>
      </c>
      <c r="L157">
        <f t="shared" si="25"/>
        <v>-3.8681091825101181</v>
      </c>
    </row>
    <row r="158" spans="1:12" x14ac:dyDescent="0.25">
      <c r="A158" s="3">
        <v>41794</v>
      </c>
      <c r="B158" s="3" t="str">
        <f t="shared" si="18"/>
        <v>Jun</v>
      </c>
      <c r="C158" s="3" t="str">
        <f t="shared" si="19"/>
        <v>2014</v>
      </c>
      <c r="D158" s="3" t="str">
        <f t="shared" si="20"/>
        <v>Wednesday</v>
      </c>
      <c r="E158">
        <v>286405.9988</v>
      </c>
      <c r="F158">
        <v>296902.67249999999</v>
      </c>
      <c r="G158">
        <v>8904</v>
      </c>
      <c r="H158" s="1">
        <f t="shared" si="21"/>
        <v>32.165992677448337</v>
      </c>
      <c r="I158" s="1" t="str">
        <f t="shared" si="22"/>
        <v>Low</v>
      </c>
      <c r="J158">
        <f t="shared" si="23"/>
        <v>-3.6649629351268969</v>
      </c>
      <c r="K158">
        <f t="shared" si="24"/>
        <v>33.344864386792452</v>
      </c>
      <c r="L158">
        <f t="shared" si="25"/>
        <v>-3.6649629351269022</v>
      </c>
    </row>
    <row r="159" spans="1:12" x14ac:dyDescent="0.25">
      <c r="A159" s="3">
        <v>41795</v>
      </c>
      <c r="B159" s="3" t="str">
        <f t="shared" si="18"/>
        <v>Jun</v>
      </c>
      <c r="C159" s="3" t="str">
        <f t="shared" si="19"/>
        <v>2014</v>
      </c>
      <c r="D159" s="3" t="str">
        <f t="shared" si="20"/>
        <v>Thursday</v>
      </c>
      <c r="E159">
        <v>184989.88870000001</v>
      </c>
      <c r="F159">
        <v>192824.89009999999</v>
      </c>
      <c r="G159">
        <v>5783</v>
      </c>
      <c r="H159" s="1">
        <f t="shared" si="21"/>
        <v>31.988567992391495</v>
      </c>
      <c r="I159" s="1" t="str">
        <f t="shared" si="22"/>
        <v>Low</v>
      </c>
      <c r="J159">
        <f t="shared" si="23"/>
        <v>-4.2353673787577009</v>
      </c>
      <c r="K159">
        <f t="shared" si="24"/>
        <v>33.343401366072968</v>
      </c>
      <c r="L159">
        <f t="shared" si="25"/>
        <v>-4.2353673787576884</v>
      </c>
    </row>
    <row r="160" spans="1:12" x14ac:dyDescent="0.25">
      <c r="A160" s="3">
        <v>41796</v>
      </c>
      <c r="B160" s="3" t="str">
        <f t="shared" si="18"/>
        <v>Jun</v>
      </c>
      <c r="C160" s="3" t="str">
        <f t="shared" si="19"/>
        <v>2014</v>
      </c>
      <c r="D160" s="3" t="str">
        <f t="shared" si="20"/>
        <v>Friday</v>
      </c>
      <c r="E160">
        <v>288118.30440000002</v>
      </c>
      <c r="F160">
        <v>300213.55940000003</v>
      </c>
      <c r="G160">
        <v>9005</v>
      </c>
      <c r="H160" s="1">
        <f t="shared" si="21"/>
        <v>31.995369727928932</v>
      </c>
      <c r="I160" s="1" t="str">
        <f t="shared" si="22"/>
        <v>Low</v>
      </c>
      <c r="J160">
        <f t="shared" si="23"/>
        <v>-4.1980168615763942</v>
      </c>
      <c r="K160">
        <f t="shared" si="24"/>
        <v>33.3385407440311</v>
      </c>
      <c r="L160">
        <f t="shared" si="25"/>
        <v>-4.1980168615764022</v>
      </c>
    </row>
    <row r="161" spans="1:12" x14ac:dyDescent="0.25">
      <c r="A161" s="3">
        <v>41797</v>
      </c>
      <c r="B161" s="3" t="str">
        <f t="shared" si="18"/>
        <v>Jun</v>
      </c>
      <c r="C161" s="3" t="str">
        <f t="shared" si="19"/>
        <v>2014</v>
      </c>
      <c r="D161" s="3" t="str">
        <f t="shared" si="20"/>
        <v>Saturday</v>
      </c>
      <c r="E161">
        <v>391930.87800000003</v>
      </c>
      <c r="F161">
        <v>407438.91960000002</v>
      </c>
      <c r="G161">
        <v>12222</v>
      </c>
      <c r="H161" s="1">
        <f t="shared" si="21"/>
        <v>32.067654884634265</v>
      </c>
      <c r="I161" s="1" t="str">
        <f t="shared" si="22"/>
        <v>Low</v>
      </c>
      <c r="J161">
        <f t="shared" si="23"/>
        <v>-3.9568307756552921</v>
      </c>
      <c r="K161">
        <f t="shared" si="24"/>
        <v>33.336517722140407</v>
      </c>
      <c r="L161">
        <f t="shared" si="25"/>
        <v>-3.9568307756553081</v>
      </c>
    </row>
    <row r="162" spans="1:12" x14ac:dyDescent="0.25">
      <c r="A162" s="3">
        <v>41798</v>
      </c>
      <c r="B162" s="3" t="str">
        <f t="shared" si="18"/>
        <v>Jun</v>
      </c>
      <c r="C162" s="3" t="str">
        <f t="shared" si="19"/>
        <v>2014</v>
      </c>
      <c r="D162" s="3" t="str">
        <f t="shared" si="20"/>
        <v>Sunday</v>
      </c>
      <c r="E162">
        <v>193772.58110000001</v>
      </c>
      <c r="F162">
        <v>201254.71249999999</v>
      </c>
      <c r="G162">
        <v>6037</v>
      </c>
      <c r="H162" s="1">
        <f t="shared" si="21"/>
        <v>32.097495626967039</v>
      </c>
      <c r="I162" s="1" t="str">
        <f t="shared" si="22"/>
        <v>Low</v>
      </c>
      <c r="J162">
        <f t="shared" si="23"/>
        <v>-3.861295213969766</v>
      </c>
      <c r="K162">
        <f t="shared" si="24"/>
        <v>33.336874689415275</v>
      </c>
      <c r="L162">
        <f t="shared" si="25"/>
        <v>-3.8612952139697758</v>
      </c>
    </row>
    <row r="163" spans="1:12" x14ac:dyDescent="0.25">
      <c r="A163" s="3">
        <v>41799</v>
      </c>
      <c r="B163" s="3" t="str">
        <f t="shared" si="18"/>
        <v>Jun</v>
      </c>
      <c r="C163" s="3" t="str">
        <f t="shared" si="19"/>
        <v>2014</v>
      </c>
      <c r="D163" s="3" t="str">
        <f t="shared" si="20"/>
        <v>Monday</v>
      </c>
      <c r="E163">
        <v>214177.9834</v>
      </c>
      <c r="F163">
        <v>220255.21919999999</v>
      </c>
      <c r="G163">
        <v>6607</v>
      </c>
      <c r="H163" s="1">
        <f t="shared" si="21"/>
        <v>32.416828121689115</v>
      </c>
      <c r="I163" s="1" t="str">
        <f t="shared" si="22"/>
        <v>Low</v>
      </c>
      <c r="J163">
        <f t="shared" si="23"/>
        <v>-2.8374698946763899</v>
      </c>
      <c r="K163">
        <f t="shared" si="24"/>
        <v>33.336645860451036</v>
      </c>
      <c r="L163">
        <f t="shared" si="25"/>
        <v>-2.8374698946763979</v>
      </c>
    </row>
    <row r="164" spans="1:12" x14ac:dyDescent="0.25">
      <c r="A164" s="3">
        <v>41800</v>
      </c>
      <c r="B164" s="3" t="str">
        <f t="shared" si="18"/>
        <v>Jun</v>
      </c>
      <c r="C164" s="3" t="str">
        <f t="shared" si="19"/>
        <v>2014</v>
      </c>
      <c r="D164" s="3" t="str">
        <f t="shared" si="20"/>
        <v>Tuesday</v>
      </c>
      <c r="E164">
        <v>188334.52119999999</v>
      </c>
      <c r="F164">
        <v>195254.78099999999</v>
      </c>
      <c r="G164">
        <v>5857</v>
      </c>
      <c r="H164" s="1">
        <f t="shared" si="21"/>
        <v>32.155458630698305</v>
      </c>
      <c r="I164" s="1" t="str">
        <f t="shared" si="22"/>
        <v>Low</v>
      </c>
      <c r="J164">
        <f t="shared" si="23"/>
        <v>-3.6744510543826951</v>
      </c>
      <c r="K164">
        <f t="shared" si="24"/>
        <v>33.33699521939559</v>
      </c>
      <c r="L164">
        <f t="shared" si="25"/>
        <v>-3.6744510543826916</v>
      </c>
    </row>
    <row r="165" spans="1:12" x14ac:dyDescent="0.25">
      <c r="A165" s="3">
        <v>41801</v>
      </c>
      <c r="B165" s="3" t="str">
        <f t="shared" si="18"/>
        <v>Jun</v>
      </c>
      <c r="C165" s="3" t="str">
        <f t="shared" si="19"/>
        <v>2014</v>
      </c>
      <c r="D165" s="3" t="str">
        <f t="shared" si="20"/>
        <v>Wednesday</v>
      </c>
      <c r="E165">
        <v>174324.99479999999</v>
      </c>
      <c r="F165">
        <v>180978.601</v>
      </c>
      <c r="G165">
        <v>5429</v>
      </c>
      <c r="H165" s="1">
        <f t="shared" si="21"/>
        <v>32.109964044943816</v>
      </c>
      <c r="I165" s="1" t="str">
        <f t="shared" si="22"/>
        <v>Low</v>
      </c>
      <c r="J165">
        <f t="shared" si="23"/>
        <v>-3.816782675160022</v>
      </c>
      <c r="K165">
        <f t="shared" si="24"/>
        <v>33.335531589611342</v>
      </c>
      <c r="L165">
        <f t="shared" si="25"/>
        <v>-3.8167826751600193</v>
      </c>
    </row>
    <row r="166" spans="1:12" x14ac:dyDescent="0.25">
      <c r="A166" s="3">
        <v>41802</v>
      </c>
      <c r="B166" s="3" t="str">
        <f t="shared" si="18"/>
        <v>Jun</v>
      </c>
      <c r="C166" s="3" t="str">
        <f t="shared" si="19"/>
        <v>2014</v>
      </c>
      <c r="D166" s="3" t="str">
        <f t="shared" si="20"/>
        <v>Thursday</v>
      </c>
      <c r="E166">
        <v>200271.5643</v>
      </c>
      <c r="F166">
        <v>207757.70300000001</v>
      </c>
      <c r="G166">
        <v>6232</v>
      </c>
      <c r="H166" s="1">
        <f t="shared" si="21"/>
        <v>32.136001973684209</v>
      </c>
      <c r="I166" s="1" t="str">
        <f t="shared" si="22"/>
        <v>Low</v>
      </c>
      <c r="J166">
        <f t="shared" si="23"/>
        <v>-3.7379938216221396</v>
      </c>
      <c r="K166">
        <f t="shared" si="24"/>
        <v>33.337243741976891</v>
      </c>
      <c r="L166">
        <f t="shared" si="25"/>
        <v>-3.7379938216221329</v>
      </c>
    </row>
    <row r="167" spans="1:12" x14ac:dyDescent="0.25">
      <c r="A167" s="3">
        <v>41803</v>
      </c>
      <c r="B167" s="3" t="str">
        <f t="shared" si="18"/>
        <v>Jun</v>
      </c>
      <c r="C167" s="3" t="str">
        <f t="shared" si="19"/>
        <v>2014</v>
      </c>
      <c r="D167" s="3" t="str">
        <f t="shared" si="20"/>
        <v>Friday</v>
      </c>
      <c r="E167">
        <v>468701.63020000001</v>
      </c>
      <c r="F167">
        <v>486180.54440000001</v>
      </c>
      <c r="G167">
        <v>14585</v>
      </c>
      <c r="H167" s="1">
        <f t="shared" si="21"/>
        <v>32.135867685978745</v>
      </c>
      <c r="I167" s="1" t="str">
        <f t="shared" si="22"/>
        <v>Low</v>
      </c>
      <c r="J167">
        <f t="shared" si="23"/>
        <v>-3.7292198434516983</v>
      </c>
      <c r="K167">
        <f t="shared" si="24"/>
        <v>33.334284840589646</v>
      </c>
      <c r="L167">
        <f t="shared" si="25"/>
        <v>-3.729219843451697</v>
      </c>
    </row>
    <row r="168" spans="1:12" x14ac:dyDescent="0.25">
      <c r="A168" s="3">
        <v>41804</v>
      </c>
      <c r="B168" s="3" t="str">
        <f t="shared" si="18"/>
        <v>Jun</v>
      </c>
      <c r="C168" s="3" t="str">
        <f t="shared" si="19"/>
        <v>2014</v>
      </c>
      <c r="D168" s="3" t="str">
        <f t="shared" si="20"/>
        <v>Saturday</v>
      </c>
      <c r="E168">
        <v>473425.75420000002</v>
      </c>
      <c r="F168">
        <v>492135.29229999997</v>
      </c>
      <c r="G168">
        <v>14745</v>
      </c>
      <c r="H168" s="1">
        <f t="shared" si="21"/>
        <v>32.107545215327228</v>
      </c>
      <c r="I168" s="1" t="str">
        <f t="shared" si="22"/>
        <v>Low</v>
      </c>
      <c r="J168">
        <f t="shared" si="23"/>
        <v>-3.9519476779660048</v>
      </c>
      <c r="K168">
        <f t="shared" si="24"/>
        <v>33.376418602916239</v>
      </c>
      <c r="L168">
        <f t="shared" si="25"/>
        <v>-3.9519476779660092</v>
      </c>
    </row>
    <row r="169" spans="1:12" x14ac:dyDescent="0.25">
      <c r="A169" s="3">
        <v>41805</v>
      </c>
      <c r="B169" s="3" t="str">
        <f t="shared" si="18"/>
        <v>Jun</v>
      </c>
      <c r="C169" s="3" t="str">
        <f t="shared" si="19"/>
        <v>2014</v>
      </c>
      <c r="D169" s="3" t="str">
        <f t="shared" si="20"/>
        <v>Sunday</v>
      </c>
      <c r="E169">
        <v>224232.1214</v>
      </c>
      <c r="F169">
        <v>233554.03219999999</v>
      </c>
      <c r="G169">
        <v>6991</v>
      </c>
      <c r="H169" s="1">
        <f t="shared" si="21"/>
        <v>32.074398712630526</v>
      </c>
      <c r="I169" s="1" t="str">
        <f t="shared" si="22"/>
        <v>Low</v>
      </c>
      <c r="J169">
        <f t="shared" si="23"/>
        <v>-4.1572593354593232</v>
      </c>
      <c r="K169">
        <f t="shared" si="24"/>
        <v>33.407814647403804</v>
      </c>
      <c r="L169">
        <f t="shared" si="25"/>
        <v>-4.1572593354593241</v>
      </c>
    </row>
    <row r="170" spans="1:12" x14ac:dyDescent="0.25">
      <c r="A170" s="3">
        <v>41806</v>
      </c>
      <c r="B170" s="3" t="str">
        <f t="shared" si="18"/>
        <v>Jun</v>
      </c>
      <c r="C170" s="3" t="str">
        <f t="shared" si="19"/>
        <v>2014</v>
      </c>
      <c r="D170" s="3" t="str">
        <f t="shared" si="20"/>
        <v>Monday</v>
      </c>
      <c r="E170">
        <v>185606.27499999999</v>
      </c>
      <c r="F170">
        <v>193340.31539999999</v>
      </c>
      <c r="G170">
        <v>5788</v>
      </c>
      <c r="H170" s="1">
        <f t="shared" si="21"/>
        <v>32.067428299930889</v>
      </c>
      <c r="I170" s="1" t="str">
        <f t="shared" si="22"/>
        <v>Low</v>
      </c>
      <c r="J170">
        <f t="shared" si="23"/>
        <v>-4.1669067492464889</v>
      </c>
      <c r="K170">
        <f t="shared" si="24"/>
        <v>33.403648134070487</v>
      </c>
      <c r="L170">
        <f t="shared" si="25"/>
        <v>-4.1669067492464862</v>
      </c>
    </row>
    <row r="171" spans="1:12" x14ac:dyDescent="0.25">
      <c r="A171" s="3">
        <v>41807</v>
      </c>
      <c r="B171" s="3" t="str">
        <f t="shared" si="18"/>
        <v>Jun</v>
      </c>
      <c r="C171" s="3" t="str">
        <f t="shared" si="19"/>
        <v>2014</v>
      </c>
      <c r="D171" s="3" t="str">
        <f t="shared" si="20"/>
        <v>Tuesday</v>
      </c>
      <c r="E171">
        <v>212687.50940000001</v>
      </c>
      <c r="F171">
        <v>221403.64499999999</v>
      </c>
      <c r="G171">
        <v>6632</v>
      </c>
      <c r="H171" s="1">
        <f t="shared" si="21"/>
        <v>32.069889837153198</v>
      </c>
      <c r="I171" s="1" t="str">
        <f t="shared" si="22"/>
        <v>Low</v>
      </c>
      <c r="J171">
        <f t="shared" si="23"/>
        <v>-4.0980947233754099</v>
      </c>
      <c r="K171">
        <f t="shared" si="24"/>
        <v>33.384144300361882</v>
      </c>
      <c r="L171">
        <f t="shared" si="25"/>
        <v>-4.0980947233754161</v>
      </c>
    </row>
    <row r="172" spans="1:12" x14ac:dyDescent="0.25">
      <c r="A172" s="3">
        <v>41808</v>
      </c>
      <c r="B172" s="3" t="str">
        <f t="shared" si="18"/>
        <v>Jun</v>
      </c>
      <c r="C172" s="3" t="str">
        <f t="shared" si="19"/>
        <v>2014</v>
      </c>
      <c r="D172" s="3" t="str">
        <f t="shared" si="20"/>
        <v>Wednesday</v>
      </c>
      <c r="E172">
        <v>184259.6924</v>
      </c>
      <c r="F172">
        <v>192057.51079999999</v>
      </c>
      <c r="G172">
        <v>5752</v>
      </c>
      <c r="H172" s="1">
        <f t="shared" si="21"/>
        <v>32.034021627260081</v>
      </c>
      <c r="I172" s="1" t="str">
        <f t="shared" si="22"/>
        <v>Low</v>
      </c>
      <c r="J172">
        <f t="shared" si="23"/>
        <v>-4.2319718970723672</v>
      </c>
      <c r="K172">
        <f t="shared" si="24"/>
        <v>33.389692420027814</v>
      </c>
      <c r="L172">
        <f t="shared" si="25"/>
        <v>-4.2319718970723716</v>
      </c>
    </row>
    <row r="173" spans="1:12" x14ac:dyDescent="0.25">
      <c r="A173" s="3">
        <v>41809</v>
      </c>
      <c r="B173" s="3" t="str">
        <f t="shared" si="18"/>
        <v>Jun</v>
      </c>
      <c r="C173" s="3" t="str">
        <f t="shared" si="19"/>
        <v>2014</v>
      </c>
      <c r="D173" s="3" t="str">
        <f t="shared" si="20"/>
        <v>Thursday</v>
      </c>
      <c r="E173">
        <v>113735.8162</v>
      </c>
      <c r="F173">
        <v>119544.01979999999</v>
      </c>
      <c r="G173">
        <v>3578</v>
      </c>
      <c r="H173" s="1">
        <f t="shared" si="21"/>
        <v>31.787539463387368</v>
      </c>
      <c r="I173" s="1" t="str">
        <f t="shared" si="22"/>
        <v>Low</v>
      </c>
      <c r="J173">
        <f t="shared" si="23"/>
        <v>-5.1067498296108358</v>
      </c>
      <c r="K173">
        <f t="shared" si="24"/>
        <v>33.410849580771377</v>
      </c>
      <c r="L173">
        <f t="shared" si="25"/>
        <v>-5.1067498296108251</v>
      </c>
    </row>
    <row r="174" spans="1:12" x14ac:dyDescent="0.25">
      <c r="A174" s="3">
        <v>41810</v>
      </c>
      <c r="B174" s="3" t="str">
        <f t="shared" si="18"/>
        <v>Jun</v>
      </c>
      <c r="C174" s="3" t="str">
        <f t="shared" si="19"/>
        <v>2014</v>
      </c>
      <c r="D174" s="3" t="str">
        <f t="shared" si="20"/>
        <v>Friday</v>
      </c>
      <c r="E174">
        <v>203165.08300000001</v>
      </c>
      <c r="F174">
        <v>205350.64309999999</v>
      </c>
      <c r="G174">
        <v>6119</v>
      </c>
      <c r="H174" s="1">
        <f t="shared" si="21"/>
        <v>33.202334204935447</v>
      </c>
      <c r="I174" s="1" t="str">
        <f t="shared" si="22"/>
        <v>Low</v>
      </c>
      <c r="J174">
        <f t="shared" si="23"/>
        <v>-1.0757557685244434</v>
      </c>
      <c r="K174">
        <f t="shared" si="24"/>
        <v>33.559510230429808</v>
      </c>
      <c r="L174">
        <f t="shared" si="25"/>
        <v>-1.0757557685244548</v>
      </c>
    </row>
    <row r="175" spans="1:12" x14ac:dyDescent="0.25">
      <c r="A175" s="3">
        <v>41811</v>
      </c>
      <c r="B175" s="3" t="str">
        <f t="shared" si="18"/>
        <v>Jun</v>
      </c>
      <c r="C175" s="3" t="str">
        <f t="shared" si="19"/>
        <v>2014</v>
      </c>
      <c r="D175" s="3" t="str">
        <f t="shared" si="20"/>
        <v>Saturday</v>
      </c>
      <c r="E175">
        <v>203345.24460000001</v>
      </c>
      <c r="F175">
        <v>206918.91260000001</v>
      </c>
      <c r="G175">
        <v>6161</v>
      </c>
      <c r="H175" s="1">
        <f t="shared" si="21"/>
        <v>33.00523366336634</v>
      </c>
      <c r="I175" s="1" t="str">
        <f t="shared" si="22"/>
        <v>Low</v>
      </c>
      <c r="J175">
        <f t="shared" si="23"/>
        <v>-1.7574386885858873</v>
      </c>
      <c r="K175">
        <f t="shared" si="24"/>
        <v>33.585280409024513</v>
      </c>
      <c r="L175">
        <f t="shared" si="25"/>
        <v>-1.7574386885858864</v>
      </c>
    </row>
    <row r="176" spans="1:12" x14ac:dyDescent="0.25">
      <c r="A176" s="3">
        <v>41812</v>
      </c>
      <c r="B176" s="3" t="str">
        <f t="shared" si="18"/>
        <v>Jun</v>
      </c>
      <c r="C176" s="3" t="str">
        <f t="shared" si="19"/>
        <v>2014</v>
      </c>
      <c r="D176" s="3" t="str">
        <f t="shared" si="20"/>
        <v>Sunday</v>
      </c>
      <c r="E176">
        <v>134944.489</v>
      </c>
      <c r="F176">
        <v>135372.527</v>
      </c>
      <c r="G176">
        <v>4015</v>
      </c>
      <c r="H176" s="1">
        <f t="shared" si="21"/>
        <v>33.610084433374844</v>
      </c>
      <c r="I176" s="1" t="str">
        <f t="shared" si="22"/>
        <v>Low</v>
      </c>
      <c r="J176">
        <f t="shared" si="23"/>
        <v>-0.31719561367193033</v>
      </c>
      <c r="K176">
        <f t="shared" si="24"/>
        <v>33.716694146948939</v>
      </c>
      <c r="L176">
        <f t="shared" si="25"/>
        <v>-0.31719561367192256</v>
      </c>
    </row>
    <row r="177" spans="1:12" x14ac:dyDescent="0.25">
      <c r="A177" s="3">
        <v>41813</v>
      </c>
      <c r="B177" s="3" t="str">
        <f t="shared" si="18"/>
        <v>Jun</v>
      </c>
      <c r="C177" s="3" t="str">
        <f t="shared" si="19"/>
        <v>2014</v>
      </c>
      <c r="D177" s="3" t="str">
        <f t="shared" si="20"/>
        <v>Monday</v>
      </c>
      <c r="E177">
        <v>138298.2102</v>
      </c>
      <c r="F177">
        <v>139206.0269</v>
      </c>
      <c r="G177">
        <v>4133</v>
      </c>
      <c r="H177" s="1">
        <f t="shared" si="21"/>
        <v>33.461942947011856</v>
      </c>
      <c r="I177" s="1" t="str">
        <f t="shared" si="22"/>
        <v>Low</v>
      </c>
      <c r="J177">
        <f t="shared" si="23"/>
        <v>-0.65641970253060855</v>
      </c>
      <c r="K177">
        <f t="shared" si="24"/>
        <v>33.681593733365595</v>
      </c>
      <c r="L177">
        <f t="shared" si="25"/>
        <v>-0.65641970253061444</v>
      </c>
    </row>
    <row r="178" spans="1:12" x14ac:dyDescent="0.25">
      <c r="A178" s="3">
        <v>41814</v>
      </c>
      <c r="B178" s="3" t="str">
        <f t="shared" si="18"/>
        <v>Jun</v>
      </c>
      <c r="C178" s="3" t="str">
        <f t="shared" si="19"/>
        <v>2014</v>
      </c>
      <c r="D178" s="3" t="str">
        <f t="shared" si="20"/>
        <v>Tuesday</v>
      </c>
      <c r="E178">
        <v>36692.679859999997</v>
      </c>
      <c r="F178">
        <v>35299.06424</v>
      </c>
      <c r="G178">
        <v>1047</v>
      </c>
      <c r="H178" s="1">
        <f t="shared" si="21"/>
        <v>35.04553950334288</v>
      </c>
      <c r="I178" s="1" t="str">
        <f t="shared" si="22"/>
        <v>Low</v>
      </c>
      <c r="J178">
        <f t="shared" si="23"/>
        <v>3.7980753254254047</v>
      </c>
      <c r="K178">
        <f t="shared" si="24"/>
        <v>33.714483514804201</v>
      </c>
      <c r="L178">
        <f t="shared" si="25"/>
        <v>3.798075325425406</v>
      </c>
    </row>
    <row r="179" spans="1:12" x14ac:dyDescent="0.25">
      <c r="A179" s="3">
        <v>41815</v>
      </c>
      <c r="B179" s="3" t="str">
        <f t="shared" si="18"/>
        <v>Jun</v>
      </c>
      <c r="C179" s="3" t="str">
        <f t="shared" si="19"/>
        <v>2014</v>
      </c>
      <c r="D179" s="3" t="str">
        <f t="shared" si="20"/>
        <v>Wednesday</v>
      </c>
      <c r="E179">
        <v>56077.542690000002</v>
      </c>
      <c r="F179">
        <v>53925.25763</v>
      </c>
      <c r="G179">
        <v>1601</v>
      </c>
      <c r="H179" s="1">
        <f t="shared" si="21"/>
        <v>35.026572573391633</v>
      </c>
      <c r="I179" s="1" t="str">
        <f t="shared" si="22"/>
        <v>Low</v>
      </c>
      <c r="J179">
        <f t="shared" si="23"/>
        <v>3.8380516633868251</v>
      </c>
      <c r="K179">
        <f t="shared" si="24"/>
        <v>33.682234622111181</v>
      </c>
      <c r="L179">
        <f t="shared" si="25"/>
        <v>3.8380516633868251</v>
      </c>
    </row>
    <row r="180" spans="1:12" x14ac:dyDescent="0.25">
      <c r="A180" s="3">
        <v>41816</v>
      </c>
      <c r="B180" s="3" t="str">
        <f t="shared" si="18"/>
        <v>Jun</v>
      </c>
      <c r="C180" s="3" t="str">
        <f t="shared" si="19"/>
        <v>2014</v>
      </c>
      <c r="D180" s="3" t="str">
        <f t="shared" si="20"/>
        <v>Thursday</v>
      </c>
      <c r="E180">
        <v>55780.707450000002</v>
      </c>
      <c r="F180">
        <v>53688.241199999997</v>
      </c>
      <c r="G180">
        <v>1592</v>
      </c>
      <c r="H180" s="1">
        <f t="shared" si="21"/>
        <v>35.038132820351763</v>
      </c>
      <c r="I180" s="1" t="str">
        <f t="shared" si="22"/>
        <v>Low</v>
      </c>
      <c r="J180">
        <f t="shared" si="23"/>
        <v>3.7512364859761291</v>
      </c>
      <c r="K180">
        <f t="shared" si="24"/>
        <v>33.72376959798995</v>
      </c>
      <c r="L180">
        <f t="shared" si="25"/>
        <v>3.7512364859761305</v>
      </c>
    </row>
    <row r="181" spans="1:12" x14ac:dyDescent="0.25">
      <c r="A181" s="3">
        <v>41817</v>
      </c>
      <c r="B181" s="3" t="str">
        <f t="shared" si="18"/>
        <v>Jun</v>
      </c>
      <c r="C181" s="3" t="str">
        <f t="shared" si="19"/>
        <v>2014</v>
      </c>
      <c r="D181" s="3" t="str">
        <f t="shared" si="20"/>
        <v>Friday</v>
      </c>
      <c r="E181">
        <v>131721.2383</v>
      </c>
      <c r="F181">
        <v>127302.4271</v>
      </c>
      <c r="G181">
        <v>3759</v>
      </c>
      <c r="H181" s="1">
        <f t="shared" si="21"/>
        <v>35.041563793562119</v>
      </c>
      <c r="I181" s="1" t="str">
        <f t="shared" si="22"/>
        <v>Low</v>
      </c>
      <c r="J181">
        <f t="shared" si="23"/>
        <v>3.3546687360590939</v>
      </c>
      <c r="K181">
        <f t="shared" si="24"/>
        <v>33.866035408353284</v>
      </c>
      <c r="L181">
        <f t="shared" si="25"/>
        <v>3.3546687360591054</v>
      </c>
    </row>
    <row r="182" spans="1:12" x14ac:dyDescent="0.25">
      <c r="A182" s="3">
        <v>41818</v>
      </c>
      <c r="B182" s="3" t="str">
        <f t="shared" si="18"/>
        <v>Jun</v>
      </c>
      <c r="C182" s="3" t="str">
        <f t="shared" si="19"/>
        <v>2014</v>
      </c>
      <c r="D182" s="3" t="str">
        <f t="shared" si="20"/>
        <v>Saturday</v>
      </c>
      <c r="E182">
        <v>146169.0766</v>
      </c>
      <c r="F182">
        <v>141012.32939999999</v>
      </c>
      <c r="G182">
        <v>4172</v>
      </c>
      <c r="H182" s="1">
        <f t="shared" si="21"/>
        <v>35.03573264621285</v>
      </c>
      <c r="I182" s="1" t="str">
        <f t="shared" si="22"/>
        <v>Low</v>
      </c>
      <c r="J182">
        <f t="shared" si="23"/>
        <v>3.5279330758254326</v>
      </c>
      <c r="K182">
        <f t="shared" si="24"/>
        <v>33.799695445829336</v>
      </c>
      <c r="L182">
        <f t="shared" si="25"/>
        <v>3.5279330758254375</v>
      </c>
    </row>
    <row r="183" spans="1:12" x14ac:dyDescent="0.25">
      <c r="A183" s="3">
        <v>41819</v>
      </c>
      <c r="B183" s="3" t="str">
        <f t="shared" si="18"/>
        <v>Jun</v>
      </c>
      <c r="C183" s="3" t="str">
        <f t="shared" si="19"/>
        <v>2014</v>
      </c>
      <c r="D183" s="3" t="str">
        <f t="shared" si="20"/>
        <v>Sunday</v>
      </c>
      <c r="E183">
        <v>62073.58541</v>
      </c>
      <c r="F183">
        <v>60083.869839999999</v>
      </c>
      <c r="G183">
        <v>1772</v>
      </c>
      <c r="H183" s="1">
        <f t="shared" si="21"/>
        <v>35.03024007336343</v>
      </c>
      <c r="I183" s="1" t="str">
        <f t="shared" si="22"/>
        <v>Low</v>
      </c>
      <c r="J183">
        <f t="shared" si="23"/>
        <v>3.2054142786465478</v>
      </c>
      <c r="K183">
        <f t="shared" si="24"/>
        <v>33.907375756207678</v>
      </c>
      <c r="L183">
        <f t="shared" si="25"/>
        <v>3.2054142786465358</v>
      </c>
    </row>
    <row r="184" spans="1:12" x14ac:dyDescent="0.25">
      <c r="A184" s="3">
        <v>41820</v>
      </c>
      <c r="B184" s="3" t="str">
        <f t="shared" si="18"/>
        <v>Jun</v>
      </c>
      <c r="C184" s="3" t="str">
        <f t="shared" si="19"/>
        <v>2014</v>
      </c>
      <c r="D184" s="3" t="str">
        <f t="shared" si="20"/>
        <v>Monday</v>
      </c>
      <c r="E184">
        <v>93619.846990000005</v>
      </c>
      <c r="F184">
        <v>90294.376090000005</v>
      </c>
      <c r="G184">
        <v>2672</v>
      </c>
      <c r="H184" s="1">
        <f t="shared" si="21"/>
        <v>35.037367885479043</v>
      </c>
      <c r="I184" s="1" t="str">
        <f t="shared" si="22"/>
        <v>Low</v>
      </c>
      <c r="J184">
        <f t="shared" si="23"/>
        <v>3.5521003365399753</v>
      </c>
      <c r="K184">
        <f t="shared" si="24"/>
        <v>33.792805422904195</v>
      </c>
      <c r="L184">
        <f t="shared" si="25"/>
        <v>3.5521003365399686</v>
      </c>
    </row>
    <row r="185" spans="1:12" x14ac:dyDescent="0.25">
      <c r="A185" s="3">
        <v>41821</v>
      </c>
      <c r="B185" s="3" t="str">
        <f t="shared" si="18"/>
        <v>Jul</v>
      </c>
      <c r="C185" s="3" t="str">
        <f t="shared" si="19"/>
        <v>2014</v>
      </c>
      <c r="D185" s="3" t="str">
        <f t="shared" si="20"/>
        <v>Tuesday</v>
      </c>
      <c r="E185">
        <v>180183.03140000001</v>
      </c>
      <c r="F185">
        <v>173842.9209</v>
      </c>
      <c r="G185">
        <v>5143</v>
      </c>
      <c r="H185" s="1">
        <f t="shared" si="21"/>
        <v>35.034616255104027</v>
      </c>
      <c r="I185" s="1" t="str">
        <f t="shared" si="22"/>
        <v>Low</v>
      </c>
      <c r="J185">
        <f t="shared" si="23"/>
        <v>3.5187056465518034</v>
      </c>
      <c r="K185">
        <f t="shared" si="24"/>
        <v>33.801851234687923</v>
      </c>
      <c r="L185">
        <f t="shared" si="25"/>
        <v>3.5187056465518083</v>
      </c>
    </row>
    <row r="186" spans="1:12" x14ac:dyDescent="0.25">
      <c r="A186" s="3">
        <v>41822</v>
      </c>
      <c r="B186" s="3" t="str">
        <f t="shared" si="18"/>
        <v>Jul</v>
      </c>
      <c r="C186" s="3" t="str">
        <f t="shared" si="19"/>
        <v>2014</v>
      </c>
      <c r="D186" s="3" t="str">
        <f t="shared" si="20"/>
        <v>Wednesday</v>
      </c>
      <c r="E186">
        <v>104760.7062</v>
      </c>
      <c r="F186">
        <v>101615.732</v>
      </c>
      <c r="G186">
        <v>2990</v>
      </c>
      <c r="H186" s="1">
        <f t="shared" si="21"/>
        <v>35.037025484949829</v>
      </c>
      <c r="I186" s="1" t="str">
        <f t="shared" si="22"/>
        <v>Low</v>
      </c>
      <c r="J186">
        <f t="shared" si="23"/>
        <v>3.0020551732401328</v>
      </c>
      <c r="K186">
        <f t="shared" si="24"/>
        <v>33.985194648829435</v>
      </c>
      <c r="L186">
        <f t="shared" si="25"/>
        <v>3.0020551732401182</v>
      </c>
    </row>
    <row r="187" spans="1:12" x14ac:dyDescent="0.25">
      <c r="A187" s="3">
        <v>41823</v>
      </c>
      <c r="B187" s="3" t="str">
        <f t="shared" si="18"/>
        <v>Jul</v>
      </c>
      <c r="C187" s="3" t="str">
        <f t="shared" si="19"/>
        <v>2014</v>
      </c>
      <c r="D187" s="3" t="str">
        <f t="shared" si="20"/>
        <v>Thursday</v>
      </c>
      <c r="E187">
        <v>93450.533679999993</v>
      </c>
      <c r="F187">
        <v>90927.089659999998</v>
      </c>
      <c r="G187">
        <v>2667</v>
      </c>
      <c r="H187" s="1">
        <f t="shared" si="21"/>
        <v>35.039570183727029</v>
      </c>
      <c r="I187" s="1" t="str">
        <f t="shared" si="22"/>
        <v>Low</v>
      </c>
      <c r="J187">
        <f t="shared" si="23"/>
        <v>2.7002992071088143</v>
      </c>
      <c r="K187">
        <f t="shared" si="24"/>
        <v>34.093396947881516</v>
      </c>
      <c r="L187">
        <f t="shared" si="25"/>
        <v>2.7002992071088037</v>
      </c>
    </row>
    <row r="188" spans="1:12" x14ac:dyDescent="0.25">
      <c r="A188" s="3">
        <v>41824</v>
      </c>
      <c r="B188" s="3" t="str">
        <f t="shared" si="18"/>
        <v>Jul</v>
      </c>
      <c r="C188" s="3" t="str">
        <f t="shared" si="19"/>
        <v>2014</v>
      </c>
      <c r="D188" s="3" t="str">
        <f t="shared" si="20"/>
        <v>Friday</v>
      </c>
      <c r="E188">
        <v>98087.555900000007</v>
      </c>
      <c r="F188">
        <v>95423.273990000002</v>
      </c>
      <c r="G188">
        <v>2799</v>
      </c>
      <c r="H188" s="1">
        <f t="shared" si="21"/>
        <v>35.043785602000717</v>
      </c>
      <c r="I188" s="1" t="str">
        <f t="shared" si="22"/>
        <v>Low</v>
      </c>
      <c r="J188">
        <f t="shared" si="23"/>
        <v>2.7162282570443832</v>
      </c>
      <c r="K188">
        <f t="shared" si="24"/>
        <v>34.091916395141119</v>
      </c>
      <c r="L188">
        <f t="shared" si="25"/>
        <v>2.7162282570443934</v>
      </c>
    </row>
    <row r="189" spans="1:12" x14ac:dyDescent="0.25">
      <c r="A189" s="3">
        <v>41825</v>
      </c>
      <c r="B189" s="3" t="str">
        <f t="shared" si="18"/>
        <v>Jul</v>
      </c>
      <c r="C189" s="3" t="str">
        <f t="shared" si="19"/>
        <v>2014</v>
      </c>
      <c r="D189" s="3" t="str">
        <f t="shared" si="20"/>
        <v>Saturday</v>
      </c>
      <c r="E189">
        <v>117562.2629</v>
      </c>
      <c r="F189">
        <v>114395.62760000001</v>
      </c>
      <c r="G189">
        <v>3355</v>
      </c>
      <c r="H189" s="1">
        <f t="shared" si="21"/>
        <v>35.040912935916545</v>
      </c>
      <c r="I189" s="1" t="str">
        <f t="shared" si="22"/>
        <v>Low</v>
      </c>
      <c r="J189">
        <f t="shared" si="23"/>
        <v>2.6935814451730788</v>
      </c>
      <c r="K189">
        <f t="shared" si="24"/>
        <v>34.097057406855441</v>
      </c>
      <c r="L189">
        <f t="shared" si="25"/>
        <v>2.6935814451730855</v>
      </c>
    </row>
    <row r="190" spans="1:12" x14ac:dyDescent="0.25">
      <c r="A190" s="3">
        <v>41826</v>
      </c>
      <c r="B190" s="3" t="str">
        <f t="shared" si="18"/>
        <v>Jul</v>
      </c>
      <c r="C190" s="3" t="str">
        <f t="shared" si="19"/>
        <v>2014</v>
      </c>
      <c r="D190" s="3" t="str">
        <f t="shared" si="20"/>
        <v>Sunday</v>
      </c>
      <c r="E190">
        <v>70153.080969999995</v>
      </c>
      <c r="F190">
        <v>68252.242209999997</v>
      </c>
      <c r="G190">
        <v>2002</v>
      </c>
      <c r="H190" s="1">
        <f t="shared" si="21"/>
        <v>35.041498986013984</v>
      </c>
      <c r="I190" s="1" t="str">
        <f t="shared" si="22"/>
        <v>Low</v>
      </c>
      <c r="J190">
        <f t="shared" si="23"/>
        <v>2.7095584879769805</v>
      </c>
      <c r="K190">
        <f t="shared" si="24"/>
        <v>34.092029075924074</v>
      </c>
      <c r="L190">
        <f t="shared" si="25"/>
        <v>2.7095584879769814</v>
      </c>
    </row>
    <row r="191" spans="1:12" x14ac:dyDescent="0.25">
      <c r="A191" s="3">
        <v>41827</v>
      </c>
      <c r="B191" s="3" t="str">
        <f t="shared" si="18"/>
        <v>Jul</v>
      </c>
      <c r="C191" s="3" t="str">
        <f t="shared" si="19"/>
        <v>2014</v>
      </c>
      <c r="D191" s="3" t="str">
        <f t="shared" si="20"/>
        <v>Monday</v>
      </c>
      <c r="E191">
        <v>68918.415290000004</v>
      </c>
      <c r="F191">
        <v>66990.881349999996</v>
      </c>
      <c r="G191">
        <v>1967</v>
      </c>
      <c r="H191" s="1">
        <f t="shared" si="21"/>
        <v>35.0373234824606</v>
      </c>
      <c r="I191" s="1" t="str">
        <f t="shared" si="22"/>
        <v>Low</v>
      </c>
      <c r="J191">
        <f t="shared" si="23"/>
        <v>2.7968343901832169</v>
      </c>
      <c r="K191">
        <f t="shared" si="24"/>
        <v>34.057387569903405</v>
      </c>
      <c r="L191">
        <f t="shared" si="25"/>
        <v>2.7968343901832093</v>
      </c>
    </row>
    <row r="192" spans="1:12" x14ac:dyDescent="0.25">
      <c r="A192" s="3">
        <v>41828</v>
      </c>
      <c r="B192" s="3" t="str">
        <f t="shared" si="18"/>
        <v>Jul</v>
      </c>
      <c r="C192" s="3" t="str">
        <f t="shared" si="19"/>
        <v>2014</v>
      </c>
      <c r="D192" s="3" t="str">
        <f t="shared" si="20"/>
        <v>Tuesday</v>
      </c>
      <c r="E192">
        <v>108417.4028</v>
      </c>
      <c r="F192">
        <v>105373.3</v>
      </c>
      <c r="G192">
        <v>3094</v>
      </c>
      <c r="H192" s="1">
        <f t="shared" si="21"/>
        <v>35.04117737556561</v>
      </c>
      <c r="I192" s="1" t="str">
        <f t="shared" si="22"/>
        <v>Low</v>
      </c>
      <c r="J192">
        <f t="shared" si="23"/>
        <v>2.807762150155467</v>
      </c>
      <c r="K192">
        <f t="shared" si="24"/>
        <v>34.057304460245639</v>
      </c>
      <c r="L192">
        <f t="shared" si="25"/>
        <v>2.8077621501554635</v>
      </c>
    </row>
    <row r="193" spans="1:12" x14ac:dyDescent="0.25">
      <c r="A193" s="3">
        <v>41829</v>
      </c>
      <c r="B193" s="3" t="str">
        <f t="shared" si="18"/>
        <v>Jul</v>
      </c>
      <c r="C193" s="3" t="str">
        <f t="shared" si="19"/>
        <v>2014</v>
      </c>
      <c r="D193" s="3" t="str">
        <f t="shared" si="20"/>
        <v>Wednesday</v>
      </c>
      <c r="E193">
        <v>81802.608210000006</v>
      </c>
      <c r="F193">
        <v>79496.49424</v>
      </c>
      <c r="G193">
        <v>2335</v>
      </c>
      <c r="H193" s="1">
        <f t="shared" si="21"/>
        <v>35.033236920770882</v>
      </c>
      <c r="I193" s="1" t="str">
        <f t="shared" si="22"/>
        <v>Low</v>
      </c>
      <c r="J193">
        <f t="shared" si="23"/>
        <v>2.8191203440357953</v>
      </c>
      <c r="K193">
        <f t="shared" si="24"/>
        <v>34.045607811563173</v>
      </c>
      <c r="L193">
        <f t="shared" si="25"/>
        <v>2.8191203440357904</v>
      </c>
    </row>
    <row r="194" spans="1:12" x14ac:dyDescent="0.25">
      <c r="A194" s="3">
        <v>41830</v>
      </c>
      <c r="B194" s="3" t="str">
        <f t="shared" si="18"/>
        <v>Jul</v>
      </c>
      <c r="C194" s="3" t="str">
        <f t="shared" si="19"/>
        <v>2014</v>
      </c>
      <c r="D194" s="3" t="str">
        <f t="shared" si="20"/>
        <v>Thursday</v>
      </c>
      <c r="E194">
        <v>103998.5597</v>
      </c>
      <c r="F194">
        <v>101270.9711</v>
      </c>
      <c r="G194">
        <v>2968</v>
      </c>
      <c r="H194" s="1">
        <f t="shared" si="21"/>
        <v>35.039945990566039</v>
      </c>
      <c r="I194" s="1" t="str">
        <f t="shared" si="22"/>
        <v>Low</v>
      </c>
      <c r="J194">
        <f t="shared" si="23"/>
        <v>2.6227176682717106</v>
      </c>
      <c r="K194">
        <f t="shared" si="24"/>
        <v>34.120947136118595</v>
      </c>
      <c r="L194">
        <f t="shared" si="25"/>
        <v>2.6227176682717226</v>
      </c>
    </row>
    <row r="195" spans="1:12" x14ac:dyDescent="0.25">
      <c r="A195" s="3">
        <v>41831</v>
      </c>
      <c r="B195" s="3" t="str">
        <f t="shared" ref="B195:B258" si="26">TEXT(A195,"mmm")</f>
        <v>Jul</v>
      </c>
      <c r="C195" s="3" t="str">
        <f t="shared" ref="C195:C258" si="27">TEXT(A195,"yyyy")</f>
        <v>2014</v>
      </c>
      <c r="D195" s="3" t="str">
        <f t="shared" ref="D195:D258" si="28">TEXT(A195,"dddd")</f>
        <v>Friday</v>
      </c>
      <c r="E195">
        <v>134018.08929999999</v>
      </c>
      <c r="F195">
        <v>130633.26270000001</v>
      </c>
      <c r="G195">
        <v>3825</v>
      </c>
      <c r="H195" s="1">
        <f t="shared" ref="H195:H258" si="29">E195/G195</f>
        <v>35.03740896732026</v>
      </c>
      <c r="I195" s="1" t="str">
        <f t="shared" ref="I195:I258" si="30">IF(H195&lt;PERCENTILE(H195:H1247,0.33),"Low", IF(H195&gt;PERCENTILE(H195:H1247,0.67),"High","Medium"))</f>
        <v>Low</v>
      </c>
      <c r="J195">
        <f t="shared" ref="J195:J258" si="31">(E195-F195)/E195 *100</f>
        <v>2.5256490505718516</v>
      </c>
      <c r="K195">
        <f t="shared" ref="K195:K258" si="32">F195/G195</f>
        <v>34.152486980392162</v>
      </c>
      <c r="L195">
        <f t="shared" ref="L195:L258" si="33">(H195-K195)/H195 *100</f>
        <v>2.525649050571845</v>
      </c>
    </row>
    <row r="196" spans="1:12" x14ac:dyDescent="0.25">
      <c r="A196" s="3">
        <v>41832</v>
      </c>
      <c r="B196" s="3" t="str">
        <f t="shared" si="26"/>
        <v>Jul</v>
      </c>
      <c r="C196" s="3" t="str">
        <f t="shared" si="27"/>
        <v>2014</v>
      </c>
      <c r="D196" s="3" t="str">
        <f t="shared" si="28"/>
        <v>Saturday</v>
      </c>
      <c r="E196">
        <v>99277.299499999994</v>
      </c>
      <c r="F196">
        <v>96688.497810000001</v>
      </c>
      <c r="G196">
        <v>2833</v>
      </c>
      <c r="H196" s="1">
        <f t="shared" si="29"/>
        <v>35.043169608189196</v>
      </c>
      <c r="I196" s="1" t="str">
        <f t="shared" si="30"/>
        <v>Low</v>
      </c>
      <c r="J196">
        <f t="shared" si="31"/>
        <v>2.6076471691295282</v>
      </c>
      <c r="K196">
        <f t="shared" si="32"/>
        <v>34.129367387927992</v>
      </c>
      <c r="L196">
        <f t="shared" si="33"/>
        <v>2.6076471691295247</v>
      </c>
    </row>
    <row r="197" spans="1:12" x14ac:dyDescent="0.25">
      <c r="A197" s="3">
        <v>41833</v>
      </c>
      <c r="B197" s="3" t="str">
        <f t="shared" si="26"/>
        <v>Jul</v>
      </c>
      <c r="C197" s="3" t="str">
        <f t="shared" si="27"/>
        <v>2014</v>
      </c>
      <c r="D197" s="3" t="str">
        <f t="shared" si="28"/>
        <v>Sunday</v>
      </c>
      <c r="E197">
        <v>49705.232000000004</v>
      </c>
      <c r="F197">
        <v>48370.308989999998</v>
      </c>
      <c r="G197">
        <v>1419</v>
      </c>
      <c r="H197" s="1">
        <f t="shared" si="29"/>
        <v>35.028352360817479</v>
      </c>
      <c r="I197" s="1" t="str">
        <f t="shared" si="30"/>
        <v>Low</v>
      </c>
      <c r="J197">
        <f t="shared" si="31"/>
        <v>2.6856790649322506</v>
      </c>
      <c r="K197">
        <f t="shared" si="32"/>
        <v>34.087603234672301</v>
      </c>
      <c r="L197">
        <f t="shared" si="33"/>
        <v>2.6856790649322546</v>
      </c>
    </row>
    <row r="198" spans="1:12" x14ac:dyDescent="0.25">
      <c r="A198" s="3">
        <v>41834</v>
      </c>
      <c r="B198" s="3" t="str">
        <f t="shared" si="26"/>
        <v>Jul</v>
      </c>
      <c r="C198" s="3" t="str">
        <f t="shared" si="27"/>
        <v>2014</v>
      </c>
      <c r="D198" s="3" t="str">
        <f t="shared" si="28"/>
        <v>Monday</v>
      </c>
      <c r="E198">
        <v>75384.574550000005</v>
      </c>
      <c r="F198">
        <v>73393.446590000007</v>
      </c>
      <c r="G198">
        <v>2151</v>
      </c>
      <c r="H198" s="1">
        <f t="shared" si="29"/>
        <v>35.046292212924222</v>
      </c>
      <c r="I198" s="1" t="str">
        <f t="shared" si="30"/>
        <v>Low</v>
      </c>
      <c r="J198">
        <f t="shared" si="31"/>
        <v>2.641293622582364</v>
      </c>
      <c r="K198">
        <f t="shared" si="32"/>
        <v>34.120616731752676</v>
      </c>
      <c r="L198">
        <f t="shared" si="33"/>
        <v>2.6412936225823587</v>
      </c>
    </row>
    <row r="199" spans="1:12" x14ac:dyDescent="0.25">
      <c r="A199" s="3">
        <v>41835</v>
      </c>
      <c r="B199" s="3" t="str">
        <f t="shared" si="26"/>
        <v>Jul</v>
      </c>
      <c r="C199" s="3" t="str">
        <f t="shared" si="27"/>
        <v>2014</v>
      </c>
      <c r="D199" s="3" t="str">
        <f t="shared" si="28"/>
        <v>Tuesday</v>
      </c>
      <c r="E199">
        <v>110288.23420000001</v>
      </c>
      <c r="F199">
        <v>107437.38099999999</v>
      </c>
      <c r="G199">
        <v>3148</v>
      </c>
      <c r="H199" s="1">
        <f t="shared" si="29"/>
        <v>35.034381893265568</v>
      </c>
      <c r="I199" s="1" t="str">
        <f t="shared" si="30"/>
        <v>Low</v>
      </c>
      <c r="J199">
        <f t="shared" si="31"/>
        <v>2.5849114555866306</v>
      </c>
      <c r="K199">
        <f t="shared" si="32"/>
        <v>34.128774142312579</v>
      </c>
      <c r="L199">
        <f t="shared" si="33"/>
        <v>2.5849114555866266</v>
      </c>
    </row>
    <row r="200" spans="1:12" x14ac:dyDescent="0.25">
      <c r="A200" s="3">
        <v>41836</v>
      </c>
      <c r="B200" s="3" t="str">
        <f t="shared" si="26"/>
        <v>Jul</v>
      </c>
      <c r="C200" s="3" t="str">
        <f t="shared" si="27"/>
        <v>2014</v>
      </c>
      <c r="D200" s="3" t="str">
        <f t="shared" si="28"/>
        <v>Wednesday</v>
      </c>
      <c r="E200">
        <v>156536.6862</v>
      </c>
      <c r="F200">
        <v>164641.35399999999</v>
      </c>
      <c r="G200">
        <v>4825</v>
      </c>
      <c r="H200" s="1">
        <f t="shared" si="29"/>
        <v>32.442836518134712</v>
      </c>
      <c r="I200" s="1" t="str">
        <f t="shared" si="30"/>
        <v>Low</v>
      </c>
      <c r="J200">
        <f t="shared" si="31"/>
        <v>-5.1774877804970396</v>
      </c>
      <c r="K200">
        <f t="shared" si="32"/>
        <v>34.122560414507774</v>
      </c>
      <c r="L200">
        <f t="shared" si="33"/>
        <v>-5.1774877804970583</v>
      </c>
    </row>
    <row r="201" spans="1:12" x14ac:dyDescent="0.25">
      <c r="A201" s="3">
        <v>41837</v>
      </c>
      <c r="B201" s="3" t="str">
        <f t="shared" si="26"/>
        <v>Jul</v>
      </c>
      <c r="C201" s="3" t="str">
        <f t="shared" si="27"/>
        <v>2014</v>
      </c>
      <c r="D201" s="3" t="str">
        <f t="shared" si="28"/>
        <v>Thursday</v>
      </c>
      <c r="E201">
        <v>80823.059200000003</v>
      </c>
      <c r="F201">
        <v>78844.860499999995</v>
      </c>
      <c r="G201">
        <v>2307</v>
      </c>
      <c r="H201" s="1">
        <f t="shared" si="29"/>
        <v>35.033835804074556</v>
      </c>
      <c r="I201" s="1" t="str">
        <f t="shared" si="30"/>
        <v>Low</v>
      </c>
      <c r="J201">
        <f t="shared" si="31"/>
        <v>2.4475672160650013</v>
      </c>
      <c r="K201">
        <f t="shared" si="32"/>
        <v>34.176359124403987</v>
      </c>
      <c r="L201">
        <f t="shared" si="33"/>
        <v>2.4475672160649946</v>
      </c>
    </row>
    <row r="202" spans="1:12" x14ac:dyDescent="0.25">
      <c r="A202" s="3">
        <v>41838</v>
      </c>
      <c r="B202" s="3" t="str">
        <f t="shared" si="26"/>
        <v>Jul</v>
      </c>
      <c r="C202" s="3" t="str">
        <f t="shared" si="27"/>
        <v>2014</v>
      </c>
      <c r="D202" s="3" t="str">
        <f t="shared" si="28"/>
        <v>Friday</v>
      </c>
      <c r="E202">
        <v>124615.6856</v>
      </c>
      <c r="F202">
        <v>121612.1789</v>
      </c>
      <c r="G202">
        <v>3557</v>
      </c>
      <c r="H202" s="1">
        <f t="shared" si="29"/>
        <v>35.033929041326957</v>
      </c>
      <c r="I202" s="1" t="str">
        <f t="shared" si="30"/>
        <v>Low</v>
      </c>
      <c r="J202">
        <f t="shared" si="31"/>
        <v>2.4102156045113459</v>
      </c>
      <c r="K202">
        <f t="shared" si="32"/>
        <v>34.189535816699468</v>
      </c>
      <c r="L202">
        <f t="shared" si="33"/>
        <v>2.4102156045113285</v>
      </c>
    </row>
    <row r="203" spans="1:12" x14ac:dyDescent="0.25">
      <c r="A203" s="3">
        <v>41839</v>
      </c>
      <c r="B203" s="3" t="str">
        <f t="shared" si="26"/>
        <v>Jul</v>
      </c>
      <c r="C203" s="3" t="str">
        <f t="shared" si="27"/>
        <v>2014</v>
      </c>
      <c r="D203" s="3" t="str">
        <f t="shared" si="28"/>
        <v>Saturday</v>
      </c>
      <c r="E203">
        <v>242758.95050000001</v>
      </c>
      <c r="F203">
        <v>255779.85449999999</v>
      </c>
      <c r="G203">
        <v>7485</v>
      </c>
      <c r="H203" s="1">
        <f t="shared" si="29"/>
        <v>32.432725517702075</v>
      </c>
      <c r="I203" s="1" t="str">
        <f t="shared" si="30"/>
        <v>Low</v>
      </c>
      <c r="J203">
        <f t="shared" si="31"/>
        <v>-5.3637173719780025</v>
      </c>
      <c r="K203">
        <f t="shared" si="32"/>
        <v>34.172325250501004</v>
      </c>
      <c r="L203">
        <f t="shared" si="33"/>
        <v>-5.3637173719780034</v>
      </c>
    </row>
    <row r="204" spans="1:12" x14ac:dyDescent="0.25">
      <c r="A204" s="3">
        <v>41840</v>
      </c>
      <c r="B204" s="3" t="str">
        <f t="shared" si="26"/>
        <v>Jul</v>
      </c>
      <c r="C204" s="3" t="str">
        <f t="shared" si="27"/>
        <v>2014</v>
      </c>
      <c r="D204" s="3" t="str">
        <f t="shared" si="28"/>
        <v>Sunday</v>
      </c>
      <c r="E204">
        <v>85078.243690000003</v>
      </c>
      <c r="F204">
        <v>83020.514129999996</v>
      </c>
      <c r="G204">
        <v>2428</v>
      </c>
      <c r="H204" s="1">
        <f t="shared" si="29"/>
        <v>35.040462804777597</v>
      </c>
      <c r="I204" s="1" t="str">
        <f t="shared" si="30"/>
        <v>Low</v>
      </c>
      <c r="J204">
        <f t="shared" si="31"/>
        <v>2.4186319213379224</v>
      </c>
      <c r="K204">
        <f t="shared" si="32"/>
        <v>34.192962985996701</v>
      </c>
      <c r="L204">
        <f t="shared" si="33"/>
        <v>2.4186319213379335</v>
      </c>
    </row>
    <row r="205" spans="1:12" x14ac:dyDescent="0.25">
      <c r="A205" s="3">
        <v>41841</v>
      </c>
      <c r="B205" s="3" t="str">
        <f t="shared" si="26"/>
        <v>Jul</v>
      </c>
      <c r="C205" s="3" t="str">
        <f t="shared" si="27"/>
        <v>2014</v>
      </c>
      <c r="D205" s="3" t="str">
        <f t="shared" si="28"/>
        <v>Monday</v>
      </c>
      <c r="E205">
        <v>86738.067429999996</v>
      </c>
      <c r="F205">
        <v>84643.271829999998</v>
      </c>
      <c r="G205">
        <v>2475</v>
      </c>
      <c r="H205" s="1">
        <f t="shared" si="29"/>
        <v>35.045683810101011</v>
      </c>
      <c r="I205" s="1" t="str">
        <f t="shared" si="30"/>
        <v>Low</v>
      </c>
      <c r="J205">
        <f t="shared" si="31"/>
        <v>2.4150821687266149</v>
      </c>
      <c r="K205">
        <f t="shared" si="32"/>
        <v>34.19930174949495</v>
      </c>
      <c r="L205">
        <f t="shared" si="33"/>
        <v>2.415082168726618</v>
      </c>
    </row>
    <row r="206" spans="1:12" x14ac:dyDescent="0.25">
      <c r="A206" s="3">
        <v>41842</v>
      </c>
      <c r="B206" s="3" t="str">
        <f t="shared" si="26"/>
        <v>Jul</v>
      </c>
      <c r="C206" s="3" t="str">
        <f t="shared" si="27"/>
        <v>2014</v>
      </c>
      <c r="D206" s="3" t="str">
        <f t="shared" si="28"/>
        <v>Tuesday</v>
      </c>
      <c r="E206">
        <v>56673.615810000003</v>
      </c>
      <c r="F206">
        <v>55278.707829999999</v>
      </c>
      <c r="G206">
        <v>1618</v>
      </c>
      <c r="H206" s="1">
        <f t="shared" si="29"/>
        <v>35.026956619283069</v>
      </c>
      <c r="I206" s="1" t="str">
        <f t="shared" si="30"/>
        <v>Low</v>
      </c>
      <c r="J206">
        <f t="shared" si="31"/>
        <v>2.4613004835909438</v>
      </c>
      <c r="K206">
        <f t="shared" si="32"/>
        <v>34.164837966625463</v>
      </c>
      <c r="L206">
        <f t="shared" si="33"/>
        <v>2.4613004835909509</v>
      </c>
    </row>
    <row r="207" spans="1:12" x14ac:dyDescent="0.25">
      <c r="A207" s="3">
        <v>41843</v>
      </c>
      <c r="B207" s="3" t="str">
        <f t="shared" si="26"/>
        <v>Jul</v>
      </c>
      <c r="C207" s="3" t="str">
        <f t="shared" si="27"/>
        <v>2014</v>
      </c>
      <c r="D207" s="3" t="str">
        <f t="shared" si="28"/>
        <v>Wednesday</v>
      </c>
      <c r="E207">
        <v>165742.17050000001</v>
      </c>
      <c r="F207">
        <v>173725.35750000001</v>
      </c>
      <c r="G207">
        <v>5106</v>
      </c>
      <c r="H207" s="1">
        <f t="shared" si="29"/>
        <v>32.460276243634944</v>
      </c>
      <c r="I207" s="1" t="str">
        <f t="shared" si="30"/>
        <v>Low</v>
      </c>
      <c r="J207">
        <f t="shared" si="31"/>
        <v>-4.8166299354695647</v>
      </c>
      <c r="K207">
        <f t="shared" si="32"/>
        <v>34.023767626321977</v>
      </c>
      <c r="L207">
        <f t="shared" si="33"/>
        <v>-4.816629935469555</v>
      </c>
    </row>
    <row r="208" spans="1:12" x14ac:dyDescent="0.25">
      <c r="A208" s="3">
        <v>41844</v>
      </c>
      <c r="B208" s="3" t="str">
        <f t="shared" si="26"/>
        <v>Jul</v>
      </c>
      <c r="C208" s="3" t="str">
        <f t="shared" si="27"/>
        <v>2014</v>
      </c>
      <c r="D208" s="3" t="str">
        <f t="shared" si="28"/>
        <v>Thursday</v>
      </c>
      <c r="E208">
        <v>95618.248800000001</v>
      </c>
      <c r="F208">
        <v>92416.903839999999</v>
      </c>
      <c r="G208">
        <v>2729</v>
      </c>
      <c r="H208" s="1">
        <f t="shared" si="29"/>
        <v>35.037833931843167</v>
      </c>
      <c r="I208" s="1" t="str">
        <f t="shared" si="30"/>
        <v>Low</v>
      </c>
      <c r="J208">
        <f t="shared" si="31"/>
        <v>3.3480480976974372</v>
      </c>
      <c r="K208">
        <f t="shared" si="32"/>
        <v>33.864750399413701</v>
      </c>
      <c r="L208">
        <f t="shared" si="33"/>
        <v>3.3480480976974474</v>
      </c>
    </row>
    <row r="209" spans="1:12" x14ac:dyDescent="0.25">
      <c r="A209" s="3">
        <v>41845</v>
      </c>
      <c r="B209" s="3" t="str">
        <f t="shared" si="26"/>
        <v>Jul</v>
      </c>
      <c r="C209" s="3" t="str">
        <f t="shared" si="27"/>
        <v>2014</v>
      </c>
      <c r="D209" s="3" t="str">
        <f t="shared" si="28"/>
        <v>Friday</v>
      </c>
      <c r="E209">
        <v>515698.79580000002</v>
      </c>
      <c r="F209">
        <v>538260.27179999999</v>
      </c>
      <c r="G209">
        <v>15897</v>
      </c>
      <c r="H209" s="1">
        <f t="shared" si="29"/>
        <v>32.440007284393282</v>
      </c>
      <c r="I209" s="1" t="str">
        <f t="shared" si="30"/>
        <v>Low</v>
      </c>
      <c r="J209">
        <f t="shared" si="31"/>
        <v>-4.3749328452474865</v>
      </c>
      <c r="K209">
        <f t="shared" si="32"/>
        <v>33.859235818078879</v>
      </c>
      <c r="L209">
        <f t="shared" si="33"/>
        <v>-4.374932845247482</v>
      </c>
    </row>
    <row r="210" spans="1:12" x14ac:dyDescent="0.25">
      <c r="A210" s="3">
        <v>41846</v>
      </c>
      <c r="B210" s="3" t="str">
        <f t="shared" si="26"/>
        <v>Jul</v>
      </c>
      <c r="C210" s="3" t="str">
        <f t="shared" si="27"/>
        <v>2014</v>
      </c>
      <c r="D210" s="3" t="str">
        <f t="shared" si="28"/>
        <v>Saturday</v>
      </c>
      <c r="E210">
        <v>562590.3665</v>
      </c>
      <c r="F210">
        <v>586670.51410000003</v>
      </c>
      <c r="G210">
        <v>17343</v>
      </c>
      <c r="H210" s="1">
        <f t="shared" si="29"/>
        <v>32.43904552268927</v>
      </c>
      <c r="I210" s="1" t="str">
        <f t="shared" si="30"/>
        <v>Low</v>
      </c>
      <c r="J210">
        <f t="shared" si="31"/>
        <v>-4.2802275036822959</v>
      </c>
      <c r="K210">
        <f t="shared" si="32"/>
        <v>33.827510471083436</v>
      </c>
      <c r="L210">
        <f t="shared" si="33"/>
        <v>-4.2802275036822932</v>
      </c>
    </row>
    <row r="211" spans="1:12" x14ac:dyDescent="0.25">
      <c r="A211" s="3">
        <v>41847</v>
      </c>
      <c r="B211" s="3" t="str">
        <f t="shared" si="26"/>
        <v>Jul</v>
      </c>
      <c r="C211" s="3" t="str">
        <f t="shared" si="27"/>
        <v>2014</v>
      </c>
      <c r="D211" s="3" t="str">
        <f t="shared" si="28"/>
        <v>Sunday</v>
      </c>
      <c r="E211">
        <v>266305.92589999997</v>
      </c>
      <c r="F211">
        <v>277238.01040000003</v>
      </c>
      <c r="G211">
        <v>8207</v>
      </c>
      <c r="H211" s="1">
        <f t="shared" si="29"/>
        <v>32.448632374801996</v>
      </c>
      <c r="I211" s="1" t="str">
        <f t="shared" si="30"/>
        <v>Low</v>
      </c>
      <c r="J211">
        <f t="shared" si="31"/>
        <v>-4.1050849556029565</v>
      </c>
      <c r="K211">
        <f t="shared" si="32"/>
        <v>33.780676300718902</v>
      </c>
      <c r="L211">
        <f t="shared" si="33"/>
        <v>-4.1050849556029538</v>
      </c>
    </row>
    <row r="212" spans="1:12" x14ac:dyDescent="0.25">
      <c r="A212" s="3">
        <v>41848</v>
      </c>
      <c r="B212" s="3" t="str">
        <f t="shared" si="26"/>
        <v>Jul</v>
      </c>
      <c r="C212" s="3" t="str">
        <f t="shared" si="27"/>
        <v>2014</v>
      </c>
      <c r="D212" s="3" t="str">
        <f t="shared" si="28"/>
        <v>Monday</v>
      </c>
      <c r="E212">
        <v>292634.74570000003</v>
      </c>
      <c r="F212">
        <v>304508.37900000002</v>
      </c>
      <c r="G212">
        <v>9018</v>
      </c>
      <c r="H212" s="1">
        <f t="shared" si="29"/>
        <v>32.450071601241966</v>
      </c>
      <c r="I212" s="1" t="str">
        <f t="shared" si="30"/>
        <v>Low</v>
      </c>
      <c r="J212">
        <f t="shared" si="31"/>
        <v>-4.0574926506411728</v>
      </c>
      <c r="K212">
        <f t="shared" si="32"/>
        <v>33.766730871590156</v>
      </c>
      <c r="L212">
        <f t="shared" si="33"/>
        <v>-4.0574926506411684</v>
      </c>
    </row>
    <row r="213" spans="1:12" x14ac:dyDescent="0.25">
      <c r="A213" s="3">
        <v>41849</v>
      </c>
      <c r="B213" s="3" t="str">
        <f t="shared" si="26"/>
        <v>Jul</v>
      </c>
      <c r="C213" s="3" t="str">
        <f t="shared" si="27"/>
        <v>2014</v>
      </c>
      <c r="D213" s="3" t="str">
        <f t="shared" si="28"/>
        <v>Tuesday</v>
      </c>
      <c r="E213">
        <v>212360.99309999999</v>
      </c>
      <c r="F213">
        <v>221017.07310000001</v>
      </c>
      <c r="G213">
        <v>6548</v>
      </c>
      <c r="H213" s="1">
        <f t="shared" si="29"/>
        <v>32.431428390348195</v>
      </c>
      <c r="I213" s="1" t="str">
        <f t="shared" si="30"/>
        <v>Low</v>
      </c>
      <c r="J213">
        <f t="shared" si="31"/>
        <v>-4.076115803397049</v>
      </c>
      <c r="K213">
        <f t="shared" si="32"/>
        <v>33.753370968234577</v>
      </c>
      <c r="L213">
        <f t="shared" si="33"/>
        <v>-4.0761158033970561</v>
      </c>
    </row>
    <row r="214" spans="1:12" x14ac:dyDescent="0.25">
      <c r="A214" s="3">
        <v>41850</v>
      </c>
      <c r="B214" s="3" t="str">
        <f t="shared" si="26"/>
        <v>Jul</v>
      </c>
      <c r="C214" s="3" t="str">
        <f t="shared" si="27"/>
        <v>2014</v>
      </c>
      <c r="D214" s="3" t="str">
        <f t="shared" si="28"/>
        <v>Wednesday</v>
      </c>
      <c r="E214">
        <v>198019.3321</v>
      </c>
      <c r="F214">
        <v>205903.82490000001</v>
      </c>
      <c r="G214">
        <v>6102</v>
      </c>
      <c r="H214" s="1">
        <f t="shared" si="29"/>
        <v>32.451545739101931</v>
      </c>
      <c r="I214" s="1" t="str">
        <f t="shared" si="30"/>
        <v>Low</v>
      </c>
      <c r="J214">
        <f t="shared" si="31"/>
        <v>-3.9816783121045618</v>
      </c>
      <c r="K214">
        <f t="shared" si="32"/>
        <v>33.743661897738448</v>
      </c>
      <c r="L214">
        <f t="shared" si="33"/>
        <v>-3.9816783121045729</v>
      </c>
    </row>
    <row r="215" spans="1:12" x14ac:dyDescent="0.25">
      <c r="A215" s="3">
        <v>41851</v>
      </c>
      <c r="B215" s="3" t="str">
        <f t="shared" si="26"/>
        <v>Jul</v>
      </c>
      <c r="C215" s="3" t="str">
        <f t="shared" si="27"/>
        <v>2014</v>
      </c>
      <c r="D215" s="3" t="str">
        <f t="shared" si="28"/>
        <v>Thursday</v>
      </c>
      <c r="E215">
        <v>295508.3273</v>
      </c>
      <c r="F215">
        <v>307222.39539999998</v>
      </c>
      <c r="G215">
        <v>9108</v>
      </c>
      <c r="H215" s="1">
        <f t="shared" si="29"/>
        <v>32.444919554238034</v>
      </c>
      <c r="I215" s="1" t="str">
        <f t="shared" si="30"/>
        <v>Low</v>
      </c>
      <c r="J215">
        <f t="shared" si="31"/>
        <v>-3.9640399331650151</v>
      </c>
      <c r="K215">
        <f t="shared" si="32"/>
        <v>33.731049121651296</v>
      </c>
      <c r="L215">
        <f t="shared" si="33"/>
        <v>-3.9640399331650209</v>
      </c>
    </row>
    <row r="216" spans="1:12" x14ac:dyDescent="0.25">
      <c r="A216" s="3">
        <v>41852</v>
      </c>
      <c r="B216" s="3" t="str">
        <f t="shared" si="26"/>
        <v>Aug</v>
      </c>
      <c r="C216" s="3" t="str">
        <f t="shared" si="27"/>
        <v>2014</v>
      </c>
      <c r="D216" s="3" t="str">
        <f t="shared" si="28"/>
        <v>Friday</v>
      </c>
      <c r="E216">
        <v>611894.67319999996</v>
      </c>
      <c r="F216">
        <v>636341.31590000005</v>
      </c>
      <c r="G216">
        <v>18867</v>
      </c>
      <c r="H216" s="1">
        <f t="shared" si="29"/>
        <v>32.432006847935547</v>
      </c>
      <c r="I216" s="1" t="str">
        <f t="shared" si="30"/>
        <v>Low</v>
      </c>
      <c r="J216">
        <f t="shared" si="31"/>
        <v>-3.9952370515259594</v>
      </c>
      <c r="K216">
        <f t="shared" si="32"/>
        <v>33.727742402077702</v>
      </c>
      <c r="L216">
        <f t="shared" si="33"/>
        <v>-3.9952370515259519</v>
      </c>
    </row>
    <row r="217" spans="1:12" x14ac:dyDescent="0.25">
      <c r="A217" s="3">
        <v>41853</v>
      </c>
      <c r="B217" s="3" t="str">
        <f t="shared" si="26"/>
        <v>Aug</v>
      </c>
      <c r="C217" s="3" t="str">
        <f t="shared" si="27"/>
        <v>2014</v>
      </c>
      <c r="D217" s="3" t="str">
        <f t="shared" si="28"/>
        <v>Saturday</v>
      </c>
      <c r="E217">
        <v>628685.21880000003</v>
      </c>
      <c r="F217">
        <v>653779.96349999995</v>
      </c>
      <c r="G217">
        <v>19384</v>
      </c>
      <c r="H217" s="1">
        <f t="shared" si="29"/>
        <v>32.433203611225757</v>
      </c>
      <c r="I217" s="1" t="str">
        <f t="shared" si="30"/>
        <v>Low</v>
      </c>
      <c r="J217">
        <f t="shared" si="31"/>
        <v>-3.991623144552277</v>
      </c>
      <c r="K217">
        <f t="shared" si="32"/>
        <v>33.727814873091205</v>
      </c>
      <c r="L217">
        <f t="shared" si="33"/>
        <v>-3.9916231445522641</v>
      </c>
    </row>
    <row r="218" spans="1:12" x14ac:dyDescent="0.25">
      <c r="A218" s="3">
        <v>41854</v>
      </c>
      <c r="B218" s="3" t="str">
        <f t="shared" si="26"/>
        <v>Aug</v>
      </c>
      <c r="C218" s="3" t="str">
        <f t="shared" si="27"/>
        <v>2014</v>
      </c>
      <c r="D218" s="3" t="str">
        <f t="shared" si="28"/>
        <v>Sunday</v>
      </c>
      <c r="E218">
        <v>307272.68369999999</v>
      </c>
      <c r="F218">
        <v>319500.00949999999</v>
      </c>
      <c r="G218">
        <v>9473</v>
      </c>
      <c r="H218" s="1">
        <f t="shared" si="29"/>
        <v>32.436681484218305</v>
      </c>
      <c r="I218" s="1" t="str">
        <f t="shared" si="30"/>
        <v>Low</v>
      </c>
      <c r="J218">
        <f t="shared" si="31"/>
        <v>-3.9793077773024286</v>
      </c>
      <c r="K218">
        <f t="shared" si="32"/>
        <v>33.727436873218622</v>
      </c>
      <c r="L218">
        <f t="shared" si="33"/>
        <v>-3.979307777302433</v>
      </c>
    </row>
    <row r="219" spans="1:12" x14ac:dyDescent="0.25">
      <c r="A219" s="3">
        <v>41855</v>
      </c>
      <c r="B219" s="3" t="str">
        <f t="shared" si="26"/>
        <v>Aug</v>
      </c>
      <c r="C219" s="3" t="str">
        <f t="shared" si="27"/>
        <v>2014</v>
      </c>
      <c r="D219" s="3" t="str">
        <f t="shared" si="28"/>
        <v>Monday</v>
      </c>
      <c r="E219">
        <v>362106.53259999998</v>
      </c>
      <c r="F219">
        <v>376645.75089999998</v>
      </c>
      <c r="G219">
        <v>11170</v>
      </c>
      <c r="H219" s="1">
        <f t="shared" si="29"/>
        <v>32.417773733213963</v>
      </c>
      <c r="I219" s="1" t="str">
        <f t="shared" si="30"/>
        <v>Low</v>
      </c>
      <c r="J219">
        <f t="shared" si="31"/>
        <v>-4.0151770241772233</v>
      </c>
      <c r="K219">
        <f t="shared" si="32"/>
        <v>33.71940473589973</v>
      </c>
      <c r="L219">
        <f t="shared" si="33"/>
        <v>-4.015177024177226</v>
      </c>
    </row>
    <row r="220" spans="1:12" x14ac:dyDescent="0.25">
      <c r="A220" s="3">
        <v>41856</v>
      </c>
      <c r="B220" s="3" t="str">
        <f t="shared" si="26"/>
        <v>Aug</v>
      </c>
      <c r="C220" s="3" t="str">
        <f t="shared" si="27"/>
        <v>2014</v>
      </c>
      <c r="D220" s="3" t="str">
        <f t="shared" si="28"/>
        <v>Tuesday</v>
      </c>
      <c r="E220">
        <v>262349.59100000001</v>
      </c>
      <c r="F220">
        <v>272809.2904</v>
      </c>
      <c r="G220">
        <v>8091</v>
      </c>
      <c r="H220" s="1">
        <f t="shared" si="29"/>
        <v>32.424866023977259</v>
      </c>
      <c r="I220" s="1" t="str">
        <f t="shared" si="30"/>
        <v>Low</v>
      </c>
      <c r="J220">
        <f t="shared" si="31"/>
        <v>-3.9869318492667221</v>
      </c>
      <c r="K220">
        <f t="shared" si="32"/>
        <v>33.717623334569275</v>
      </c>
      <c r="L220">
        <f t="shared" si="33"/>
        <v>-3.9869318492667296</v>
      </c>
    </row>
    <row r="221" spans="1:12" x14ac:dyDescent="0.25">
      <c r="A221" s="3">
        <v>41857</v>
      </c>
      <c r="B221" s="3" t="str">
        <f t="shared" si="26"/>
        <v>Aug</v>
      </c>
      <c r="C221" s="3" t="str">
        <f t="shared" si="27"/>
        <v>2014</v>
      </c>
      <c r="D221" s="3" t="str">
        <f t="shared" si="28"/>
        <v>Wednesday</v>
      </c>
      <c r="E221">
        <v>80697.9035</v>
      </c>
      <c r="F221">
        <v>77649.636530000003</v>
      </c>
      <c r="G221">
        <v>2303</v>
      </c>
      <c r="H221" s="1">
        <f t="shared" si="29"/>
        <v>35.040340208423792</v>
      </c>
      <c r="I221" s="1" t="str">
        <f t="shared" si="30"/>
        <v>Low</v>
      </c>
      <c r="J221">
        <f t="shared" si="31"/>
        <v>3.7773806230294409</v>
      </c>
      <c r="K221">
        <f t="shared" si="32"/>
        <v>33.716733187147199</v>
      </c>
      <c r="L221">
        <f t="shared" si="33"/>
        <v>3.7773806230294396</v>
      </c>
    </row>
    <row r="222" spans="1:12" x14ac:dyDescent="0.25">
      <c r="A222" s="3">
        <v>41858</v>
      </c>
      <c r="B222" s="3" t="str">
        <f t="shared" si="26"/>
        <v>Aug</v>
      </c>
      <c r="C222" s="3" t="str">
        <f t="shared" si="27"/>
        <v>2014</v>
      </c>
      <c r="D222" s="3" t="str">
        <f t="shared" si="28"/>
        <v>Thursday</v>
      </c>
      <c r="E222">
        <v>103272.62270000001</v>
      </c>
      <c r="F222">
        <v>99367.233219999995</v>
      </c>
      <c r="G222">
        <v>2947</v>
      </c>
      <c r="H222" s="1">
        <f t="shared" si="29"/>
        <v>35.043305972175098</v>
      </c>
      <c r="I222" s="1" t="str">
        <f t="shared" si="30"/>
        <v>Low</v>
      </c>
      <c r="J222">
        <f t="shared" si="31"/>
        <v>3.7816309665581991</v>
      </c>
      <c r="K222">
        <f t="shared" si="32"/>
        <v>33.718097461825586</v>
      </c>
      <c r="L222">
        <f t="shared" si="33"/>
        <v>3.7816309665581986</v>
      </c>
    </row>
    <row r="223" spans="1:12" x14ac:dyDescent="0.25">
      <c r="A223" s="3">
        <v>41859</v>
      </c>
      <c r="B223" s="3" t="str">
        <f t="shared" si="26"/>
        <v>Aug</v>
      </c>
      <c r="C223" s="3" t="str">
        <f t="shared" si="27"/>
        <v>2014</v>
      </c>
      <c r="D223" s="3" t="str">
        <f t="shared" si="28"/>
        <v>Friday</v>
      </c>
      <c r="E223">
        <v>439421.42210000003</v>
      </c>
      <c r="F223">
        <v>456509.62190000003</v>
      </c>
      <c r="G223">
        <v>13542</v>
      </c>
      <c r="H223" s="1">
        <f t="shared" si="29"/>
        <v>32.44878320041353</v>
      </c>
      <c r="I223" s="1" t="str">
        <f t="shared" si="30"/>
        <v>Low</v>
      </c>
      <c r="J223">
        <f t="shared" si="31"/>
        <v>-3.8887953432801021</v>
      </c>
      <c r="K223">
        <f t="shared" si="32"/>
        <v>33.710649970462271</v>
      </c>
      <c r="L223">
        <f t="shared" si="33"/>
        <v>-3.8887953432801123</v>
      </c>
    </row>
    <row r="224" spans="1:12" x14ac:dyDescent="0.25">
      <c r="A224" s="3">
        <v>41860</v>
      </c>
      <c r="B224" s="3" t="str">
        <f t="shared" si="26"/>
        <v>Aug</v>
      </c>
      <c r="C224" s="3" t="str">
        <f t="shared" si="27"/>
        <v>2014</v>
      </c>
      <c r="D224" s="3" t="str">
        <f t="shared" si="28"/>
        <v>Saturday</v>
      </c>
      <c r="E224">
        <v>408616.35060000001</v>
      </c>
      <c r="F224">
        <v>424340.94939999998</v>
      </c>
      <c r="G224">
        <v>12588</v>
      </c>
      <c r="H224" s="1">
        <f t="shared" si="29"/>
        <v>32.460784127740709</v>
      </c>
      <c r="I224" s="1" t="str">
        <f t="shared" si="30"/>
        <v>Low</v>
      </c>
      <c r="J224">
        <f t="shared" si="31"/>
        <v>-3.848254916111518</v>
      </c>
      <c r="K224">
        <f t="shared" si="32"/>
        <v>33.709957848744835</v>
      </c>
      <c r="L224">
        <f t="shared" si="33"/>
        <v>-3.84825491611151</v>
      </c>
    </row>
    <row r="225" spans="1:12" x14ac:dyDescent="0.25">
      <c r="A225" s="3">
        <v>41861</v>
      </c>
      <c r="B225" s="3" t="str">
        <f t="shared" si="26"/>
        <v>Aug</v>
      </c>
      <c r="C225" s="3" t="str">
        <f t="shared" si="27"/>
        <v>2014</v>
      </c>
      <c r="D225" s="3" t="str">
        <f t="shared" si="28"/>
        <v>Sunday</v>
      </c>
      <c r="E225">
        <v>195866.77299999999</v>
      </c>
      <c r="F225">
        <v>203331.43479999999</v>
      </c>
      <c r="G225">
        <v>6032</v>
      </c>
      <c r="H225" s="1">
        <f t="shared" si="29"/>
        <v>32.471281996021219</v>
      </c>
      <c r="I225" s="1" t="str">
        <f t="shared" si="30"/>
        <v>Low</v>
      </c>
      <c r="J225">
        <f t="shared" si="31"/>
        <v>-3.8110914299895069</v>
      </c>
      <c r="K225">
        <f t="shared" si="32"/>
        <v>33.708792241379307</v>
      </c>
      <c r="L225">
        <f t="shared" si="33"/>
        <v>-3.8110914299894993</v>
      </c>
    </row>
    <row r="226" spans="1:12" x14ac:dyDescent="0.25">
      <c r="A226" s="3">
        <v>41862</v>
      </c>
      <c r="B226" s="3" t="str">
        <f t="shared" si="26"/>
        <v>Aug</v>
      </c>
      <c r="C226" s="3" t="str">
        <f t="shared" si="27"/>
        <v>2014</v>
      </c>
      <c r="D226" s="3" t="str">
        <f t="shared" si="28"/>
        <v>Monday</v>
      </c>
      <c r="E226">
        <v>232347.35320000001</v>
      </c>
      <c r="F226">
        <v>241134.52780000001</v>
      </c>
      <c r="G226">
        <v>7158</v>
      </c>
      <c r="H226" s="1">
        <f t="shared" si="29"/>
        <v>32.459814640961163</v>
      </c>
      <c r="I226" s="1" t="str">
        <f t="shared" si="30"/>
        <v>Low</v>
      </c>
      <c r="J226">
        <f t="shared" si="31"/>
        <v>-3.7819129329337238</v>
      </c>
      <c r="K226">
        <f t="shared" si="32"/>
        <v>33.687416568873992</v>
      </c>
      <c r="L226">
        <f t="shared" si="33"/>
        <v>-3.7819129329337375</v>
      </c>
    </row>
    <row r="227" spans="1:12" x14ac:dyDescent="0.25">
      <c r="A227" s="3">
        <v>41863</v>
      </c>
      <c r="B227" s="3" t="str">
        <f t="shared" si="26"/>
        <v>Aug</v>
      </c>
      <c r="C227" s="3" t="str">
        <f t="shared" si="27"/>
        <v>2014</v>
      </c>
      <c r="D227" s="3" t="str">
        <f t="shared" si="28"/>
        <v>Tuesday</v>
      </c>
      <c r="E227">
        <v>190325.18109999999</v>
      </c>
      <c r="F227">
        <v>197438.1116</v>
      </c>
      <c r="G227">
        <v>5863</v>
      </c>
      <c r="H227" s="1">
        <f t="shared" si="29"/>
        <v>32.462081033600541</v>
      </c>
      <c r="I227" s="1" t="str">
        <f t="shared" si="30"/>
        <v>Low</v>
      </c>
      <c r="J227">
        <f t="shared" si="31"/>
        <v>-3.7372514025155534</v>
      </c>
      <c r="K227">
        <f t="shared" si="32"/>
        <v>33.675270612314513</v>
      </c>
      <c r="L227">
        <f t="shared" si="33"/>
        <v>-3.7372514025155561</v>
      </c>
    </row>
    <row r="228" spans="1:12" x14ac:dyDescent="0.25">
      <c r="A228" s="3">
        <v>41864</v>
      </c>
      <c r="B228" s="3" t="str">
        <f t="shared" si="26"/>
        <v>Aug</v>
      </c>
      <c r="C228" s="3" t="str">
        <f t="shared" si="27"/>
        <v>2014</v>
      </c>
      <c r="D228" s="3" t="str">
        <f t="shared" si="28"/>
        <v>Wednesday</v>
      </c>
      <c r="E228">
        <v>197698.11859999999</v>
      </c>
      <c r="F228">
        <v>205114.12890000001</v>
      </c>
      <c r="G228">
        <v>6092</v>
      </c>
      <c r="H228" s="1">
        <f t="shared" si="29"/>
        <v>32.452087754432043</v>
      </c>
      <c r="I228" s="1" t="str">
        <f t="shared" si="30"/>
        <v>Low</v>
      </c>
      <c r="J228">
        <f t="shared" si="31"/>
        <v>-3.7511789957924382</v>
      </c>
      <c r="K228">
        <f t="shared" si="32"/>
        <v>33.669423653972423</v>
      </c>
      <c r="L228">
        <f t="shared" si="33"/>
        <v>-3.7511789957924244</v>
      </c>
    </row>
    <row r="229" spans="1:12" x14ac:dyDescent="0.25">
      <c r="A229" s="3">
        <v>41865</v>
      </c>
      <c r="B229" s="3" t="str">
        <f t="shared" si="26"/>
        <v>Aug</v>
      </c>
      <c r="C229" s="3" t="str">
        <f t="shared" si="27"/>
        <v>2014</v>
      </c>
      <c r="D229" s="3" t="str">
        <f t="shared" si="28"/>
        <v>Thursday</v>
      </c>
      <c r="E229">
        <v>177908.83559999999</v>
      </c>
      <c r="F229">
        <v>184687.52910000001</v>
      </c>
      <c r="G229">
        <v>5485</v>
      </c>
      <c r="H229" s="1">
        <f t="shared" si="29"/>
        <v>32.435521531449403</v>
      </c>
      <c r="I229" s="1" t="str">
        <f t="shared" si="30"/>
        <v>Low</v>
      </c>
      <c r="J229">
        <f t="shared" si="31"/>
        <v>-3.8102062087803485</v>
      </c>
      <c r="K229">
        <f t="shared" si="32"/>
        <v>33.671381786690979</v>
      </c>
      <c r="L229">
        <f t="shared" si="33"/>
        <v>-3.810206208780361</v>
      </c>
    </row>
    <row r="230" spans="1:12" x14ac:dyDescent="0.25">
      <c r="A230" s="3">
        <v>41866</v>
      </c>
      <c r="B230" s="3" t="str">
        <f t="shared" si="26"/>
        <v>Aug</v>
      </c>
      <c r="C230" s="3" t="str">
        <f t="shared" si="27"/>
        <v>2014</v>
      </c>
      <c r="D230" s="3" t="str">
        <f t="shared" si="28"/>
        <v>Friday</v>
      </c>
      <c r="E230">
        <v>473321.88250000001</v>
      </c>
      <c r="F230">
        <v>491559.42300000001</v>
      </c>
      <c r="G230">
        <v>14587</v>
      </c>
      <c r="H230" s="1">
        <f t="shared" si="29"/>
        <v>32.448199252759309</v>
      </c>
      <c r="I230" s="1" t="str">
        <f t="shared" si="30"/>
        <v>Low</v>
      </c>
      <c r="J230">
        <f t="shared" si="31"/>
        <v>-3.8530947277722793</v>
      </c>
      <c r="K230">
        <f t="shared" si="32"/>
        <v>33.698459107424419</v>
      </c>
      <c r="L230">
        <f t="shared" si="33"/>
        <v>-3.85309472777227</v>
      </c>
    </row>
    <row r="231" spans="1:12" x14ac:dyDescent="0.25">
      <c r="A231" s="3">
        <v>41867</v>
      </c>
      <c r="B231" s="3" t="str">
        <f t="shared" si="26"/>
        <v>Aug</v>
      </c>
      <c r="C231" s="3" t="str">
        <f t="shared" si="27"/>
        <v>2014</v>
      </c>
      <c r="D231" s="3" t="str">
        <f t="shared" si="28"/>
        <v>Saturday</v>
      </c>
      <c r="E231">
        <v>541600.8922</v>
      </c>
      <c r="F231">
        <v>562953.37080000003</v>
      </c>
      <c r="G231">
        <v>16686</v>
      </c>
      <c r="H231" s="1">
        <f t="shared" si="29"/>
        <v>32.458401785928324</v>
      </c>
      <c r="I231" s="1" t="str">
        <f t="shared" si="30"/>
        <v>Low</v>
      </c>
      <c r="J231">
        <f t="shared" si="31"/>
        <v>-3.9424747830945379</v>
      </c>
      <c r="K231">
        <f t="shared" si="32"/>
        <v>33.738066091334055</v>
      </c>
      <c r="L231">
        <f t="shared" si="33"/>
        <v>-3.9424747830945379</v>
      </c>
    </row>
    <row r="232" spans="1:12" x14ac:dyDescent="0.25">
      <c r="A232" s="3">
        <v>41868</v>
      </c>
      <c r="B232" s="3" t="str">
        <f t="shared" si="26"/>
        <v>Aug</v>
      </c>
      <c r="C232" s="3" t="str">
        <f t="shared" si="27"/>
        <v>2014</v>
      </c>
      <c r="D232" s="3" t="str">
        <f t="shared" si="28"/>
        <v>Sunday</v>
      </c>
      <c r="E232">
        <v>239513.97899999999</v>
      </c>
      <c r="F232">
        <v>249203.1208</v>
      </c>
      <c r="G232">
        <v>7380</v>
      </c>
      <c r="H232" s="1">
        <f t="shared" si="29"/>
        <v>32.45446869918699</v>
      </c>
      <c r="I232" s="1" t="str">
        <f t="shared" si="30"/>
        <v>Low</v>
      </c>
      <c r="J232">
        <f t="shared" si="31"/>
        <v>-4.0453345731440642</v>
      </c>
      <c r="K232">
        <f t="shared" si="32"/>
        <v>33.76736054200542</v>
      </c>
      <c r="L232">
        <f t="shared" si="33"/>
        <v>-4.0453345731440669</v>
      </c>
    </row>
    <row r="233" spans="1:12" x14ac:dyDescent="0.25">
      <c r="A233" s="3">
        <v>41869</v>
      </c>
      <c r="B233" s="3" t="str">
        <f t="shared" si="26"/>
        <v>Aug</v>
      </c>
      <c r="C233" s="3" t="str">
        <f t="shared" si="27"/>
        <v>2014</v>
      </c>
      <c r="D233" s="3" t="str">
        <f t="shared" si="28"/>
        <v>Monday</v>
      </c>
      <c r="E233">
        <v>255224.22260000001</v>
      </c>
      <c r="F233">
        <v>265532.54619999998</v>
      </c>
      <c r="G233">
        <v>7864</v>
      </c>
      <c r="H233" s="1">
        <f t="shared" si="29"/>
        <v>32.454758723296031</v>
      </c>
      <c r="I233" s="1" t="str">
        <f t="shared" si="30"/>
        <v>Low</v>
      </c>
      <c r="J233">
        <f t="shared" si="31"/>
        <v>-4.0389283959758346</v>
      </c>
      <c r="K233">
        <f t="shared" si="32"/>
        <v>33.765583189216684</v>
      </c>
      <c r="L233">
        <f t="shared" si="33"/>
        <v>-4.0389283959758524</v>
      </c>
    </row>
    <row r="234" spans="1:12" x14ac:dyDescent="0.25">
      <c r="A234" s="3">
        <v>41870</v>
      </c>
      <c r="B234" s="3" t="str">
        <f t="shared" si="26"/>
        <v>Aug</v>
      </c>
      <c r="C234" s="3" t="str">
        <f t="shared" si="27"/>
        <v>2014</v>
      </c>
      <c r="D234" s="3" t="str">
        <f t="shared" si="28"/>
        <v>Tuesday</v>
      </c>
      <c r="E234">
        <v>160372.03969999999</v>
      </c>
      <c r="F234">
        <v>167021.15779999999</v>
      </c>
      <c r="G234">
        <v>4941</v>
      </c>
      <c r="H234" s="1">
        <f t="shared" si="29"/>
        <v>32.457405322809144</v>
      </c>
      <c r="I234" s="1" t="str">
        <f t="shared" si="30"/>
        <v>Low</v>
      </c>
      <c r="J234">
        <f t="shared" si="31"/>
        <v>-4.1460581984479132</v>
      </c>
      <c r="K234">
        <f t="shared" si="32"/>
        <v>33.803108237198941</v>
      </c>
      <c r="L234">
        <f t="shared" si="33"/>
        <v>-4.1460581984479106</v>
      </c>
    </row>
    <row r="235" spans="1:12" x14ac:dyDescent="0.25">
      <c r="A235" s="3">
        <v>41871</v>
      </c>
      <c r="B235" s="3" t="str">
        <f t="shared" si="26"/>
        <v>Aug</v>
      </c>
      <c r="C235" s="3" t="str">
        <f t="shared" si="27"/>
        <v>2014</v>
      </c>
      <c r="D235" s="3" t="str">
        <f t="shared" si="28"/>
        <v>Wednesday</v>
      </c>
      <c r="E235">
        <v>171587.33230000001</v>
      </c>
      <c r="F235">
        <v>174723.17540000001</v>
      </c>
      <c r="G235">
        <v>5151</v>
      </c>
      <c r="H235" s="1">
        <f t="shared" si="29"/>
        <v>33.311460357212191</v>
      </c>
      <c r="I235" s="1" t="str">
        <f t="shared" si="30"/>
        <v>Low</v>
      </c>
      <c r="J235">
        <f t="shared" si="31"/>
        <v>-1.8275493056313448</v>
      </c>
      <c r="K235">
        <f t="shared" si="32"/>
        <v>33.920243719666082</v>
      </c>
      <c r="L235">
        <f t="shared" si="33"/>
        <v>-1.8275493056313434</v>
      </c>
    </row>
    <row r="236" spans="1:12" x14ac:dyDescent="0.25">
      <c r="A236" s="3">
        <v>41872</v>
      </c>
      <c r="B236" s="3" t="str">
        <f t="shared" si="26"/>
        <v>Aug</v>
      </c>
      <c r="C236" s="3" t="str">
        <f t="shared" si="27"/>
        <v>2014</v>
      </c>
      <c r="D236" s="3" t="str">
        <f t="shared" si="28"/>
        <v>Thursday</v>
      </c>
      <c r="E236">
        <v>164208.0606</v>
      </c>
      <c r="F236">
        <v>167239.6488</v>
      </c>
      <c r="G236">
        <v>4928</v>
      </c>
      <c r="H236" s="1">
        <f t="shared" si="29"/>
        <v>33.321440868506492</v>
      </c>
      <c r="I236" s="1" t="str">
        <f t="shared" si="30"/>
        <v>Low</v>
      </c>
      <c r="J236">
        <f t="shared" si="31"/>
        <v>-1.8461872023351806</v>
      </c>
      <c r="K236">
        <f t="shared" si="32"/>
        <v>33.936617045454547</v>
      </c>
      <c r="L236">
        <f t="shared" si="33"/>
        <v>-1.8461872023351891</v>
      </c>
    </row>
    <row r="237" spans="1:12" x14ac:dyDescent="0.25">
      <c r="A237" s="3">
        <v>41873</v>
      </c>
      <c r="B237" s="3" t="str">
        <f t="shared" si="26"/>
        <v>Aug</v>
      </c>
      <c r="C237" s="3" t="str">
        <f t="shared" si="27"/>
        <v>2014</v>
      </c>
      <c r="D237" s="3" t="str">
        <f t="shared" si="28"/>
        <v>Friday</v>
      </c>
      <c r="E237">
        <v>376778.8357</v>
      </c>
      <c r="F237">
        <v>384006.0453</v>
      </c>
      <c r="G237">
        <v>11309</v>
      </c>
      <c r="H237" s="1">
        <f t="shared" si="29"/>
        <v>33.316724352285789</v>
      </c>
      <c r="I237" s="1" t="str">
        <f t="shared" si="30"/>
        <v>Low</v>
      </c>
      <c r="J237">
        <f t="shared" si="31"/>
        <v>-1.9181569969483299</v>
      </c>
      <c r="K237">
        <f t="shared" si="32"/>
        <v>33.955791431603146</v>
      </c>
      <c r="L237">
        <f t="shared" si="33"/>
        <v>-1.9181569969483268</v>
      </c>
    </row>
    <row r="238" spans="1:12" x14ac:dyDescent="0.25">
      <c r="A238" s="3">
        <v>41874</v>
      </c>
      <c r="B238" s="3" t="str">
        <f t="shared" si="26"/>
        <v>Aug</v>
      </c>
      <c r="C238" s="3" t="str">
        <f t="shared" si="27"/>
        <v>2014</v>
      </c>
      <c r="D238" s="3" t="str">
        <f t="shared" si="28"/>
        <v>Saturday</v>
      </c>
      <c r="E238">
        <v>453633.47399999999</v>
      </c>
      <c r="F238">
        <v>463250.07130000001</v>
      </c>
      <c r="G238">
        <v>13613</v>
      </c>
      <c r="H238" s="1">
        <f t="shared" si="29"/>
        <v>33.323549107470797</v>
      </c>
      <c r="I238" s="1" t="str">
        <f t="shared" si="30"/>
        <v>Low</v>
      </c>
      <c r="J238">
        <f t="shared" si="31"/>
        <v>-2.1199046920421978</v>
      </c>
      <c r="K238">
        <f t="shared" si="32"/>
        <v>34.029976588555058</v>
      </c>
      <c r="L238">
        <f t="shared" si="33"/>
        <v>-2.1199046920422053</v>
      </c>
    </row>
    <row r="239" spans="1:12" x14ac:dyDescent="0.25">
      <c r="A239" s="3">
        <v>41875</v>
      </c>
      <c r="B239" s="3" t="str">
        <f t="shared" si="26"/>
        <v>Aug</v>
      </c>
      <c r="C239" s="3" t="str">
        <f t="shared" si="27"/>
        <v>2014</v>
      </c>
      <c r="D239" s="3" t="str">
        <f t="shared" si="28"/>
        <v>Sunday</v>
      </c>
      <c r="E239">
        <v>214392.40090000001</v>
      </c>
      <c r="F239">
        <v>218347.7978</v>
      </c>
      <c r="G239">
        <v>6424</v>
      </c>
      <c r="H239" s="1">
        <f t="shared" si="29"/>
        <v>33.37366141033624</v>
      </c>
      <c r="I239" s="1" t="str">
        <f t="shared" si="30"/>
        <v>Low</v>
      </c>
      <c r="J239">
        <f t="shared" si="31"/>
        <v>-1.8449333481017016</v>
      </c>
      <c r="K239">
        <f t="shared" si="32"/>
        <v>33.98938321917808</v>
      </c>
      <c r="L239">
        <f t="shared" si="33"/>
        <v>-1.8449333481016967</v>
      </c>
    </row>
    <row r="240" spans="1:12" x14ac:dyDescent="0.25">
      <c r="A240" s="3">
        <v>41876</v>
      </c>
      <c r="B240" s="3" t="str">
        <f t="shared" si="26"/>
        <v>Aug</v>
      </c>
      <c r="C240" s="3" t="str">
        <f t="shared" si="27"/>
        <v>2014</v>
      </c>
      <c r="D240" s="3" t="str">
        <f t="shared" si="28"/>
        <v>Monday</v>
      </c>
      <c r="E240">
        <v>316404.06229999999</v>
      </c>
      <c r="F240">
        <v>323293.39659999998</v>
      </c>
      <c r="G240">
        <v>9493</v>
      </c>
      <c r="H240" s="1">
        <f t="shared" si="29"/>
        <v>33.330249899926258</v>
      </c>
      <c r="I240" s="1" t="str">
        <f t="shared" si="30"/>
        <v>Low</v>
      </c>
      <c r="J240">
        <f t="shared" si="31"/>
        <v>-2.1773849077411129</v>
      </c>
      <c r="K240">
        <f t="shared" si="32"/>
        <v>34.055977730959654</v>
      </c>
      <c r="L240">
        <f t="shared" si="33"/>
        <v>-2.1773849077411254</v>
      </c>
    </row>
    <row r="241" spans="1:12" x14ac:dyDescent="0.25">
      <c r="A241" s="3">
        <v>41877</v>
      </c>
      <c r="B241" s="3" t="str">
        <f t="shared" si="26"/>
        <v>Aug</v>
      </c>
      <c r="C241" s="3" t="str">
        <f t="shared" si="27"/>
        <v>2014</v>
      </c>
      <c r="D241" s="3" t="str">
        <f t="shared" si="28"/>
        <v>Tuesday</v>
      </c>
      <c r="E241">
        <v>242824.5013</v>
      </c>
      <c r="F241">
        <v>259860.51250000001</v>
      </c>
      <c r="G241">
        <v>7619</v>
      </c>
      <c r="H241" s="1">
        <f t="shared" si="29"/>
        <v>31.87091498884368</v>
      </c>
      <c r="I241" s="1" t="str">
        <f t="shared" si="30"/>
        <v>Low</v>
      </c>
      <c r="J241">
        <f t="shared" si="31"/>
        <v>-7.0157711057965662</v>
      </c>
      <c r="K241">
        <f t="shared" si="32"/>
        <v>34.106905433783965</v>
      </c>
      <c r="L241">
        <f t="shared" si="33"/>
        <v>-7.0157711057965759</v>
      </c>
    </row>
    <row r="242" spans="1:12" x14ac:dyDescent="0.25">
      <c r="A242" s="3">
        <v>41878</v>
      </c>
      <c r="B242" s="3" t="str">
        <f t="shared" si="26"/>
        <v>Aug</v>
      </c>
      <c r="C242" s="3" t="str">
        <f t="shared" si="27"/>
        <v>2014</v>
      </c>
      <c r="D242" s="3" t="str">
        <f t="shared" si="28"/>
        <v>Wednesday</v>
      </c>
      <c r="E242">
        <v>274712.25329999998</v>
      </c>
      <c r="F242">
        <v>304334.78460000001</v>
      </c>
      <c r="G242">
        <v>8909</v>
      </c>
      <c r="H242" s="1">
        <f t="shared" si="29"/>
        <v>30.835363486362105</v>
      </c>
      <c r="I242" s="1" t="str">
        <f t="shared" si="30"/>
        <v>Low</v>
      </c>
      <c r="J242">
        <f t="shared" si="31"/>
        <v>-10.783112491036464</v>
      </c>
      <c r="K242">
        <f t="shared" si="32"/>
        <v>34.160375418116516</v>
      </c>
      <c r="L242">
        <f t="shared" si="33"/>
        <v>-10.783112491036469</v>
      </c>
    </row>
    <row r="243" spans="1:12" x14ac:dyDescent="0.25">
      <c r="A243" s="3">
        <v>41879</v>
      </c>
      <c r="B243" s="3" t="str">
        <f t="shared" si="26"/>
        <v>Aug</v>
      </c>
      <c r="C243" s="3" t="str">
        <f t="shared" si="27"/>
        <v>2014</v>
      </c>
      <c r="D243" s="3" t="str">
        <f t="shared" si="28"/>
        <v>Thursday</v>
      </c>
      <c r="E243">
        <v>258066.16940000001</v>
      </c>
      <c r="F243">
        <v>287168.5661</v>
      </c>
      <c r="G243">
        <v>8400</v>
      </c>
      <c r="H243" s="1">
        <f t="shared" si="29"/>
        <v>30.722163023809525</v>
      </c>
      <c r="I243" s="1" t="str">
        <f t="shared" si="30"/>
        <v>Low</v>
      </c>
      <c r="J243">
        <f t="shared" si="31"/>
        <v>-11.277106475313142</v>
      </c>
      <c r="K243">
        <f t="shared" si="32"/>
        <v>34.186734059523808</v>
      </c>
      <c r="L243">
        <f t="shared" si="33"/>
        <v>-11.277106475313138</v>
      </c>
    </row>
    <row r="244" spans="1:12" x14ac:dyDescent="0.25">
      <c r="A244" s="3">
        <v>41880</v>
      </c>
      <c r="B244" s="3" t="str">
        <f t="shared" si="26"/>
        <v>Aug</v>
      </c>
      <c r="C244" s="3" t="str">
        <f t="shared" si="27"/>
        <v>2014</v>
      </c>
      <c r="D244" s="3" t="str">
        <f t="shared" si="28"/>
        <v>Friday</v>
      </c>
      <c r="E244">
        <v>594007.2132</v>
      </c>
      <c r="F244">
        <v>660937.80480000004</v>
      </c>
      <c r="G244">
        <v>19317</v>
      </c>
      <c r="H244" s="1">
        <f t="shared" si="29"/>
        <v>30.750489889734432</v>
      </c>
      <c r="I244" s="1" t="str">
        <f t="shared" si="30"/>
        <v>Low</v>
      </c>
      <c r="J244">
        <f t="shared" si="31"/>
        <v>-11.267639535795462</v>
      </c>
      <c r="K244">
        <f t="shared" si="32"/>
        <v>34.215344246000932</v>
      </c>
      <c r="L244">
        <f t="shared" si="33"/>
        <v>-11.267639535795452</v>
      </c>
    </row>
    <row r="245" spans="1:12" x14ac:dyDescent="0.25">
      <c r="A245" s="3">
        <v>41881</v>
      </c>
      <c r="B245" s="3" t="str">
        <f t="shared" si="26"/>
        <v>Aug</v>
      </c>
      <c r="C245" s="3" t="str">
        <f t="shared" si="27"/>
        <v>2014</v>
      </c>
      <c r="D245" s="3" t="str">
        <f t="shared" si="28"/>
        <v>Saturday</v>
      </c>
      <c r="E245">
        <v>717096.71279999998</v>
      </c>
      <c r="F245">
        <v>797788.89199999999</v>
      </c>
      <c r="G245">
        <v>23310</v>
      </c>
      <c r="H245" s="1">
        <f t="shared" si="29"/>
        <v>30.763479742599742</v>
      </c>
      <c r="I245" s="1" t="str">
        <f t="shared" si="30"/>
        <v>Low</v>
      </c>
      <c r="J245">
        <f t="shared" si="31"/>
        <v>-11.25262154457892</v>
      </c>
      <c r="K245">
        <f t="shared" si="32"/>
        <v>34.225177691977692</v>
      </c>
      <c r="L245">
        <f t="shared" si="33"/>
        <v>-11.252621544578918</v>
      </c>
    </row>
    <row r="246" spans="1:12" x14ac:dyDescent="0.25">
      <c r="A246" s="3">
        <v>41882</v>
      </c>
      <c r="B246" s="3" t="str">
        <f t="shared" si="26"/>
        <v>Aug</v>
      </c>
      <c r="C246" s="3" t="str">
        <f t="shared" si="27"/>
        <v>2014</v>
      </c>
      <c r="D246" s="3" t="str">
        <f t="shared" si="28"/>
        <v>Sunday</v>
      </c>
      <c r="E246">
        <v>358170.9963</v>
      </c>
      <c r="F246">
        <v>398562.60739999998</v>
      </c>
      <c r="G246">
        <v>11646</v>
      </c>
      <c r="H246" s="1">
        <f t="shared" si="29"/>
        <v>30.754851133436372</v>
      </c>
      <c r="I246" s="1" t="str">
        <f t="shared" si="30"/>
        <v>Low</v>
      </c>
      <c r="J246">
        <f t="shared" si="31"/>
        <v>-11.277186460449306</v>
      </c>
      <c r="K246">
        <f t="shared" si="32"/>
        <v>34.223133041387598</v>
      </c>
      <c r="L246">
        <f t="shared" si="33"/>
        <v>-11.277186460449306</v>
      </c>
    </row>
    <row r="247" spans="1:12" x14ac:dyDescent="0.25">
      <c r="A247" s="3">
        <v>41883</v>
      </c>
      <c r="B247" s="3" t="str">
        <f t="shared" si="26"/>
        <v>Sep</v>
      </c>
      <c r="C247" s="3" t="str">
        <f t="shared" si="27"/>
        <v>2014</v>
      </c>
      <c r="D247" s="3" t="str">
        <f t="shared" si="28"/>
        <v>Monday</v>
      </c>
      <c r="E247">
        <v>594953.63489999995</v>
      </c>
      <c r="F247">
        <v>662850.99080000003</v>
      </c>
      <c r="G247">
        <v>19366</v>
      </c>
      <c r="H247" s="1">
        <f t="shared" si="29"/>
        <v>30.721555039760403</v>
      </c>
      <c r="I247" s="1" t="str">
        <f t="shared" si="30"/>
        <v>Low</v>
      </c>
      <c r="J247">
        <f t="shared" si="31"/>
        <v>-11.412209610487093</v>
      </c>
      <c r="K247">
        <f t="shared" si="32"/>
        <v>34.227563296499021</v>
      </c>
      <c r="L247">
        <f t="shared" si="33"/>
        <v>-11.412209610487089</v>
      </c>
    </row>
    <row r="248" spans="1:12" x14ac:dyDescent="0.25">
      <c r="A248" s="3">
        <v>41884</v>
      </c>
      <c r="B248" s="3" t="str">
        <f t="shared" si="26"/>
        <v>Sep</v>
      </c>
      <c r="C248" s="3" t="str">
        <f t="shared" si="27"/>
        <v>2014</v>
      </c>
      <c r="D248" s="3" t="str">
        <f t="shared" si="28"/>
        <v>Tuesday</v>
      </c>
      <c r="E248">
        <v>469469.94099999999</v>
      </c>
      <c r="F248">
        <v>523480.30330000003</v>
      </c>
      <c r="G248">
        <v>15291</v>
      </c>
      <c r="H248" s="1">
        <f t="shared" si="29"/>
        <v>30.702370086979268</v>
      </c>
      <c r="I248" s="1" t="str">
        <f t="shared" si="30"/>
        <v>Low</v>
      </c>
      <c r="J248">
        <f t="shared" si="31"/>
        <v>-11.504541096913389</v>
      </c>
      <c r="K248">
        <f t="shared" si="32"/>
        <v>34.234536871362238</v>
      </c>
      <c r="L248">
        <f t="shared" si="33"/>
        <v>-11.504541096913377</v>
      </c>
    </row>
    <row r="249" spans="1:12" x14ac:dyDescent="0.25">
      <c r="A249" s="3">
        <v>41885</v>
      </c>
      <c r="B249" s="3" t="str">
        <f t="shared" si="26"/>
        <v>Sep</v>
      </c>
      <c r="C249" s="3" t="str">
        <f t="shared" si="27"/>
        <v>2014</v>
      </c>
      <c r="D249" s="3" t="str">
        <f t="shared" si="28"/>
        <v>Wednesday</v>
      </c>
      <c r="E249">
        <v>464067.79930000001</v>
      </c>
      <c r="F249">
        <v>517180.54330000002</v>
      </c>
      <c r="G249">
        <v>15100</v>
      </c>
      <c r="H249" s="1">
        <f t="shared" si="29"/>
        <v>30.732966841059604</v>
      </c>
      <c r="I249" s="1" t="str">
        <f t="shared" si="30"/>
        <v>Low</v>
      </c>
      <c r="J249">
        <f t="shared" si="31"/>
        <v>-11.44503972913339</v>
      </c>
      <c r="K249">
        <f t="shared" si="32"/>
        <v>34.250367105960265</v>
      </c>
      <c r="L249">
        <f t="shared" si="33"/>
        <v>-11.445039729133386</v>
      </c>
    </row>
    <row r="250" spans="1:12" x14ac:dyDescent="0.25">
      <c r="A250" s="3">
        <v>41886</v>
      </c>
      <c r="B250" s="3" t="str">
        <f t="shared" si="26"/>
        <v>Sep</v>
      </c>
      <c r="C250" s="3" t="str">
        <f t="shared" si="27"/>
        <v>2014</v>
      </c>
      <c r="D250" s="3" t="str">
        <f t="shared" si="28"/>
        <v>Thursday</v>
      </c>
      <c r="E250">
        <v>312311.95400000003</v>
      </c>
      <c r="F250">
        <v>348177.12050000002</v>
      </c>
      <c r="G250">
        <v>10164</v>
      </c>
      <c r="H250" s="1">
        <f t="shared" si="29"/>
        <v>30.727268201495477</v>
      </c>
      <c r="I250" s="1" t="str">
        <f t="shared" si="30"/>
        <v>Low</v>
      </c>
      <c r="J250">
        <f t="shared" si="31"/>
        <v>-11.483763602593319</v>
      </c>
      <c r="K250">
        <f t="shared" si="32"/>
        <v>34.255915043290045</v>
      </c>
      <c r="L250">
        <f t="shared" si="33"/>
        <v>-11.483763602593319</v>
      </c>
    </row>
    <row r="251" spans="1:12" x14ac:dyDescent="0.25">
      <c r="A251" s="3">
        <v>41887</v>
      </c>
      <c r="B251" s="3" t="str">
        <f t="shared" si="26"/>
        <v>Sep</v>
      </c>
      <c r="C251" s="3" t="str">
        <f t="shared" si="27"/>
        <v>2014</v>
      </c>
      <c r="D251" s="3" t="str">
        <f t="shared" si="28"/>
        <v>Friday</v>
      </c>
      <c r="E251">
        <v>501279.00040000002</v>
      </c>
      <c r="F251">
        <v>558766.69030000002</v>
      </c>
      <c r="G251">
        <v>16310</v>
      </c>
      <c r="H251" s="1">
        <f t="shared" si="29"/>
        <v>30.734457412630288</v>
      </c>
      <c r="I251" s="1" t="str">
        <f t="shared" si="30"/>
        <v>Low</v>
      </c>
      <c r="J251">
        <f t="shared" si="31"/>
        <v>-11.468202309318201</v>
      </c>
      <c r="K251">
        <f t="shared" si="32"/>
        <v>34.259147167381975</v>
      </c>
      <c r="L251">
        <f t="shared" si="33"/>
        <v>-11.468202309318206</v>
      </c>
    </row>
    <row r="252" spans="1:12" x14ac:dyDescent="0.25">
      <c r="A252" s="3">
        <v>41888</v>
      </c>
      <c r="B252" s="3" t="str">
        <f t="shared" si="26"/>
        <v>Sep</v>
      </c>
      <c r="C252" s="3" t="str">
        <f t="shared" si="27"/>
        <v>2014</v>
      </c>
      <c r="D252" s="3" t="str">
        <f t="shared" si="28"/>
        <v>Saturday</v>
      </c>
      <c r="E252">
        <v>552703.90379999997</v>
      </c>
      <c r="F252">
        <v>616169.85140000004</v>
      </c>
      <c r="G252">
        <v>17985</v>
      </c>
      <c r="H252" s="1">
        <f t="shared" si="29"/>
        <v>30.731381918265221</v>
      </c>
      <c r="I252" s="1" t="str">
        <f t="shared" si="30"/>
        <v>Low</v>
      </c>
      <c r="J252">
        <f t="shared" si="31"/>
        <v>-11.482811531391986</v>
      </c>
      <c r="K252">
        <f t="shared" si="32"/>
        <v>34.260208584931888</v>
      </c>
      <c r="L252">
        <f t="shared" si="33"/>
        <v>-11.482811531391976</v>
      </c>
    </row>
    <row r="253" spans="1:12" x14ac:dyDescent="0.25">
      <c r="A253" s="3">
        <v>41889</v>
      </c>
      <c r="B253" s="3" t="str">
        <f t="shared" si="26"/>
        <v>Sep</v>
      </c>
      <c r="C253" s="3" t="str">
        <f t="shared" si="27"/>
        <v>2014</v>
      </c>
      <c r="D253" s="3" t="str">
        <f t="shared" si="28"/>
        <v>Sunday</v>
      </c>
      <c r="E253">
        <v>234153.7622</v>
      </c>
      <c r="F253">
        <v>261088.38639999999</v>
      </c>
      <c r="G253">
        <v>7620</v>
      </c>
      <c r="H253" s="1">
        <f t="shared" si="29"/>
        <v>30.728840183727034</v>
      </c>
      <c r="I253" s="1" t="str">
        <f t="shared" si="30"/>
        <v>Low</v>
      </c>
      <c r="J253">
        <f t="shared" si="31"/>
        <v>-11.502964525077356</v>
      </c>
      <c r="K253">
        <f t="shared" si="32"/>
        <v>34.263567769028867</v>
      </c>
      <c r="L253">
        <f t="shared" si="33"/>
        <v>-11.502964525077349</v>
      </c>
    </row>
    <row r="254" spans="1:12" x14ac:dyDescent="0.25">
      <c r="A254" s="3">
        <v>41890</v>
      </c>
      <c r="B254" s="3" t="str">
        <f t="shared" si="26"/>
        <v>Sep</v>
      </c>
      <c r="C254" s="3" t="str">
        <f t="shared" si="27"/>
        <v>2014</v>
      </c>
      <c r="D254" s="3" t="str">
        <f t="shared" si="28"/>
        <v>Monday</v>
      </c>
      <c r="E254">
        <v>244481.49770000001</v>
      </c>
      <c r="F254">
        <v>272633.39980000001</v>
      </c>
      <c r="G254">
        <v>7958</v>
      </c>
      <c r="H254" s="1">
        <f t="shared" si="29"/>
        <v>30.721474956019101</v>
      </c>
      <c r="I254" s="1" t="str">
        <f t="shared" si="30"/>
        <v>Low</v>
      </c>
      <c r="J254">
        <f t="shared" si="31"/>
        <v>-11.514941770581277</v>
      </c>
      <c r="K254">
        <f t="shared" si="32"/>
        <v>34.259034908268411</v>
      </c>
      <c r="L254">
        <f t="shared" si="33"/>
        <v>-11.514941770581281</v>
      </c>
    </row>
    <row r="255" spans="1:12" x14ac:dyDescent="0.25">
      <c r="A255" s="3">
        <v>41891</v>
      </c>
      <c r="B255" s="3" t="str">
        <f t="shared" si="26"/>
        <v>Sep</v>
      </c>
      <c r="C255" s="3" t="str">
        <f t="shared" si="27"/>
        <v>2014</v>
      </c>
      <c r="D255" s="3" t="str">
        <f t="shared" si="28"/>
        <v>Tuesday</v>
      </c>
      <c r="E255">
        <v>122749.63529999999</v>
      </c>
      <c r="F255">
        <v>120070.95020000001</v>
      </c>
      <c r="G255">
        <v>3503</v>
      </c>
      <c r="H255" s="1">
        <f t="shared" si="29"/>
        <v>35.041288980873539</v>
      </c>
      <c r="I255" s="1" t="str">
        <f t="shared" si="30"/>
        <v>Low</v>
      </c>
      <c r="J255">
        <f t="shared" si="31"/>
        <v>2.1822346709652405</v>
      </c>
      <c r="K255">
        <f t="shared" si="32"/>
        <v>34.276605823579793</v>
      </c>
      <c r="L255">
        <f t="shared" si="33"/>
        <v>2.1822346709652436</v>
      </c>
    </row>
    <row r="256" spans="1:12" x14ac:dyDescent="0.25">
      <c r="A256" s="3">
        <v>41892</v>
      </c>
      <c r="B256" s="3" t="str">
        <f t="shared" si="26"/>
        <v>Sep</v>
      </c>
      <c r="C256" s="3" t="str">
        <f t="shared" si="27"/>
        <v>2014</v>
      </c>
      <c r="D256" s="3" t="str">
        <f t="shared" si="28"/>
        <v>Wednesday</v>
      </c>
      <c r="E256">
        <v>78736.402839999995</v>
      </c>
      <c r="F256">
        <v>77071.542709999994</v>
      </c>
      <c r="G256">
        <v>2247</v>
      </c>
      <c r="H256" s="1">
        <f t="shared" si="29"/>
        <v>35.040677721406318</v>
      </c>
      <c r="I256" s="1" t="str">
        <f t="shared" si="30"/>
        <v>Low</v>
      </c>
      <c r="J256">
        <f t="shared" si="31"/>
        <v>2.1144731914958803</v>
      </c>
      <c r="K256">
        <f t="shared" si="32"/>
        <v>34.299751984868713</v>
      </c>
      <c r="L256">
        <f t="shared" si="33"/>
        <v>2.1144731914958772</v>
      </c>
    </row>
    <row r="257" spans="1:12" x14ac:dyDescent="0.25">
      <c r="A257" s="3">
        <v>41893</v>
      </c>
      <c r="B257" s="3" t="str">
        <f t="shared" si="26"/>
        <v>Sep</v>
      </c>
      <c r="C257" s="3" t="str">
        <f t="shared" si="27"/>
        <v>2014</v>
      </c>
      <c r="D257" s="3" t="str">
        <f t="shared" si="28"/>
        <v>Thursday</v>
      </c>
      <c r="E257">
        <v>70875.110669999995</v>
      </c>
      <c r="F257">
        <v>69489.360849999997</v>
      </c>
      <c r="G257">
        <v>2023</v>
      </c>
      <c r="H257" s="1">
        <f t="shared" si="29"/>
        <v>35.03465678200692</v>
      </c>
      <c r="I257" s="1" t="str">
        <f t="shared" si="30"/>
        <v>Low</v>
      </c>
      <c r="J257">
        <f t="shared" si="31"/>
        <v>1.9551995148933958</v>
      </c>
      <c r="K257">
        <f t="shared" si="32"/>
        <v>34.34965934256055</v>
      </c>
      <c r="L257">
        <f t="shared" si="33"/>
        <v>1.9551995148934087</v>
      </c>
    </row>
    <row r="258" spans="1:12" x14ac:dyDescent="0.25">
      <c r="A258" s="3">
        <v>41894</v>
      </c>
      <c r="B258" s="3" t="str">
        <f t="shared" si="26"/>
        <v>Sep</v>
      </c>
      <c r="C258" s="3" t="str">
        <f t="shared" si="27"/>
        <v>2014</v>
      </c>
      <c r="D258" s="3" t="str">
        <f t="shared" si="28"/>
        <v>Friday</v>
      </c>
      <c r="E258">
        <v>148634.39139999999</v>
      </c>
      <c r="F258">
        <v>145956.1397</v>
      </c>
      <c r="G258">
        <v>4242</v>
      </c>
      <c r="H258" s="1">
        <f t="shared" si="29"/>
        <v>35.038753276756246</v>
      </c>
      <c r="I258" s="1" t="str">
        <f t="shared" si="30"/>
        <v>Low</v>
      </c>
      <c r="J258">
        <f t="shared" si="31"/>
        <v>1.8019057869267756</v>
      </c>
      <c r="K258">
        <f t="shared" si="32"/>
        <v>34.407387953795379</v>
      </c>
      <c r="L258">
        <f t="shared" si="33"/>
        <v>1.8019057869267803</v>
      </c>
    </row>
    <row r="259" spans="1:12" x14ac:dyDescent="0.25">
      <c r="A259" s="3">
        <v>41895</v>
      </c>
      <c r="B259" s="3" t="str">
        <f t="shared" ref="B259:B322" si="34">TEXT(A259,"mmm")</f>
        <v>Sep</v>
      </c>
      <c r="C259" s="3" t="str">
        <f t="shared" ref="C259:C322" si="35">TEXT(A259,"yyyy")</f>
        <v>2014</v>
      </c>
      <c r="D259" s="3" t="str">
        <f t="shared" ref="D259:D322" si="36">TEXT(A259,"dddd")</f>
        <v>Saturday</v>
      </c>
      <c r="E259">
        <v>171724.82879999999</v>
      </c>
      <c r="F259">
        <v>168652.20360000001</v>
      </c>
      <c r="G259">
        <v>4901</v>
      </c>
      <c r="H259" s="1">
        <f t="shared" ref="H259:H322" si="37">E259/G259</f>
        <v>35.038732666802694</v>
      </c>
      <c r="I259" s="1" t="str">
        <f t="shared" ref="I259:I322" si="38">IF(H259&lt;PERCENTILE(H259:H1311,0.33),"Low", IF(H259&gt;PERCENTILE(H259:H1311,0.67),"High","Medium"))</f>
        <v>Low</v>
      </c>
      <c r="J259">
        <f t="shared" ref="J259:J322" si="39">(E259-F259)/E259 *100</f>
        <v>1.789272536459201</v>
      </c>
      <c r="K259">
        <f t="shared" ref="K259:K322" si="40">F259/G259</f>
        <v>34.411794246072233</v>
      </c>
      <c r="L259">
        <f t="shared" ref="L259:L322" si="41">(H259-K259)/H259 *100</f>
        <v>1.7892725364592066</v>
      </c>
    </row>
    <row r="260" spans="1:12" x14ac:dyDescent="0.25">
      <c r="A260" s="3">
        <v>41896</v>
      </c>
      <c r="B260" s="3" t="str">
        <f t="shared" si="34"/>
        <v>Sep</v>
      </c>
      <c r="C260" s="3" t="str">
        <f t="shared" si="35"/>
        <v>2014</v>
      </c>
      <c r="D260" s="3" t="str">
        <f t="shared" si="36"/>
        <v>Sunday</v>
      </c>
      <c r="E260">
        <v>86435.698829999994</v>
      </c>
      <c r="F260">
        <v>84948.374580000003</v>
      </c>
      <c r="G260">
        <v>2467</v>
      </c>
      <c r="H260" s="1">
        <f t="shared" si="37"/>
        <v>35.036764827725982</v>
      </c>
      <c r="I260" s="1" t="str">
        <f t="shared" si="38"/>
        <v>Low</v>
      </c>
      <c r="J260">
        <f t="shared" si="39"/>
        <v>1.7207291317505633</v>
      </c>
      <c r="K260">
        <f t="shared" si="40"/>
        <v>34.433877008512361</v>
      </c>
      <c r="L260">
        <f t="shared" si="41"/>
        <v>1.7207291317505757</v>
      </c>
    </row>
    <row r="261" spans="1:12" x14ac:dyDescent="0.25">
      <c r="A261" s="3">
        <v>41897</v>
      </c>
      <c r="B261" s="3" t="str">
        <f t="shared" si="34"/>
        <v>Sep</v>
      </c>
      <c r="C261" s="3" t="str">
        <f t="shared" si="35"/>
        <v>2014</v>
      </c>
      <c r="D261" s="3" t="str">
        <f t="shared" si="36"/>
        <v>Monday</v>
      </c>
      <c r="E261">
        <v>120236.1827</v>
      </c>
      <c r="F261">
        <v>118094.0432</v>
      </c>
      <c r="G261">
        <v>3432</v>
      </c>
      <c r="H261" s="1">
        <f t="shared" si="37"/>
        <v>35.033852768065266</v>
      </c>
      <c r="I261" s="1" t="str">
        <f t="shared" si="38"/>
        <v>Low</v>
      </c>
      <c r="J261">
        <f t="shared" si="39"/>
        <v>1.7816097050792388</v>
      </c>
      <c r="K261">
        <f t="shared" si="40"/>
        <v>34.409686247086249</v>
      </c>
      <c r="L261">
        <f t="shared" si="41"/>
        <v>1.7816097050792239</v>
      </c>
    </row>
    <row r="262" spans="1:12" x14ac:dyDescent="0.25">
      <c r="A262" s="3">
        <v>41898</v>
      </c>
      <c r="B262" s="3" t="str">
        <f t="shared" si="34"/>
        <v>Sep</v>
      </c>
      <c r="C262" s="3" t="str">
        <f t="shared" si="35"/>
        <v>2014</v>
      </c>
      <c r="D262" s="3" t="str">
        <f t="shared" si="36"/>
        <v>Tuesday</v>
      </c>
      <c r="E262">
        <v>83204.196689999997</v>
      </c>
      <c r="F262">
        <v>81753.424589999995</v>
      </c>
      <c r="G262">
        <v>2375</v>
      </c>
      <c r="H262" s="1">
        <f t="shared" si="37"/>
        <v>35.033345974736839</v>
      </c>
      <c r="I262" s="1" t="str">
        <f t="shared" si="38"/>
        <v>Low</v>
      </c>
      <c r="J262">
        <f t="shared" si="39"/>
        <v>1.7436285160053289</v>
      </c>
      <c r="K262">
        <f t="shared" si="40"/>
        <v>34.422494564210524</v>
      </c>
      <c r="L262">
        <f t="shared" si="41"/>
        <v>1.7436285160053255</v>
      </c>
    </row>
    <row r="263" spans="1:12" x14ac:dyDescent="0.25">
      <c r="A263" s="3">
        <v>41899</v>
      </c>
      <c r="B263" s="3" t="str">
        <f t="shared" si="34"/>
        <v>Sep</v>
      </c>
      <c r="C263" s="3" t="str">
        <f t="shared" si="35"/>
        <v>2014</v>
      </c>
      <c r="D263" s="3" t="str">
        <f t="shared" si="36"/>
        <v>Wednesday</v>
      </c>
      <c r="E263">
        <v>73768.034729999999</v>
      </c>
      <c r="F263">
        <v>72471.919320000001</v>
      </c>
      <c r="G263">
        <v>2105</v>
      </c>
      <c r="H263" s="1">
        <f t="shared" si="37"/>
        <v>35.04419702137767</v>
      </c>
      <c r="I263" s="1" t="str">
        <f t="shared" si="38"/>
        <v>Low</v>
      </c>
      <c r="J263">
        <f t="shared" si="39"/>
        <v>1.757014965552409</v>
      </c>
      <c r="K263">
        <f t="shared" si="40"/>
        <v>34.428465235154391</v>
      </c>
      <c r="L263">
        <f t="shared" si="41"/>
        <v>1.7570149655524134</v>
      </c>
    </row>
    <row r="264" spans="1:12" x14ac:dyDescent="0.25">
      <c r="A264" s="3">
        <v>41900</v>
      </c>
      <c r="B264" s="3" t="str">
        <f t="shared" si="34"/>
        <v>Sep</v>
      </c>
      <c r="C264" s="3" t="str">
        <f t="shared" si="35"/>
        <v>2014</v>
      </c>
      <c r="D264" s="3" t="str">
        <f t="shared" si="36"/>
        <v>Thursday</v>
      </c>
      <c r="E264">
        <v>69425.445120000004</v>
      </c>
      <c r="F264">
        <v>68280.383279999995</v>
      </c>
      <c r="G264">
        <v>1982</v>
      </c>
      <c r="H264" s="1">
        <f t="shared" si="37"/>
        <v>35.027974328960646</v>
      </c>
      <c r="I264" s="1" t="str">
        <f t="shared" si="38"/>
        <v>Low</v>
      </c>
      <c r="J264">
        <f t="shared" si="39"/>
        <v>1.6493402930594119</v>
      </c>
      <c r="K264">
        <f t="shared" si="40"/>
        <v>34.450243834510594</v>
      </c>
      <c r="L264">
        <f t="shared" si="41"/>
        <v>1.6493402930594017</v>
      </c>
    </row>
    <row r="265" spans="1:12" x14ac:dyDescent="0.25">
      <c r="A265" s="3">
        <v>41901</v>
      </c>
      <c r="B265" s="3" t="str">
        <f t="shared" si="34"/>
        <v>Sep</v>
      </c>
      <c r="C265" s="3" t="str">
        <f t="shared" si="35"/>
        <v>2014</v>
      </c>
      <c r="D265" s="3" t="str">
        <f t="shared" si="36"/>
        <v>Friday</v>
      </c>
      <c r="E265">
        <v>137154.9541</v>
      </c>
      <c r="F265">
        <v>135276.90960000001</v>
      </c>
      <c r="G265">
        <v>3915</v>
      </c>
      <c r="H265" s="1">
        <f t="shared" si="37"/>
        <v>35.033193895274586</v>
      </c>
      <c r="I265" s="1" t="str">
        <f t="shared" si="38"/>
        <v>Low</v>
      </c>
      <c r="J265">
        <f t="shared" si="39"/>
        <v>1.369286667276125</v>
      </c>
      <c r="K265">
        <f t="shared" si="40"/>
        <v>34.5534890421456</v>
      </c>
      <c r="L265">
        <f t="shared" si="41"/>
        <v>1.3692866672761186</v>
      </c>
    </row>
    <row r="266" spans="1:12" x14ac:dyDescent="0.25">
      <c r="A266" s="3">
        <v>41902</v>
      </c>
      <c r="B266" s="3" t="str">
        <f t="shared" si="34"/>
        <v>Sep</v>
      </c>
      <c r="C266" s="3" t="str">
        <f t="shared" si="35"/>
        <v>2014</v>
      </c>
      <c r="D266" s="3" t="str">
        <f t="shared" si="36"/>
        <v>Saturday</v>
      </c>
      <c r="E266">
        <v>153569.0619</v>
      </c>
      <c r="F266">
        <v>151376.13560000001</v>
      </c>
      <c r="G266">
        <v>4383</v>
      </c>
      <c r="H266" s="1">
        <f t="shared" si="37"/>
        <v>35.037431416837784</v>
      </c>
      <c r="I266" s="1" t="str">
        <f t="shared" si="38"/>
        <v>Low</v>
      </c>
      <c r="J266">
        <f t="shared" si="39"/>
        <v>1.4279740156438319</v>
      </c>
      <c r="K266">
        <f t="shared" si="40"/>
        <v>34.537106000456312</v>
      </c>
      <c r="L266">
        <f t="shared" si="41"/>
        <v>1.4279740156438308</v>
      </c>
    </row>
    <row r="267" spans="1:12" x14ac:dyDescent="0.25">
      <c r="A267" s="3">
        <v>41903</v>
      </c>
      <c r="B267" s="3" t="str">
        <f t="shared" si="34"/>
        <v>Sep</v>
      </c>
      <c r="C267" s="3" t="str">
        <f t="shared" si="35"/>
        <v>2014</v>
      </c>
      <c r="D267" s="3" t="str">
        <f t="shared" si="36"/>
        <v>Sunday</v>
      </c>
      <c r="E267">
        <v>75633.320590000003</v>
      </c>
      <c r="F267">
        <v>74546.668250000002</v>
      </c>
      <c r="G267">
        <v>2159</v>
      </c>
      <c r="H267" s="1">
        <f t="shared" si="37"/>
        <v>35.031644553033814</v>
      </c>
      <c r="I267" s="1" t="str">
        <f t="shared" si="38"/>
        <v>Low</v>
      </c>
      <c r="J267">
        <f t="shared" si="39"/>
        <v>1.4367375801078794</v>
      </c>
      <c r="K267">
        <f t="shared" si="40"/>
        <v>34.528331750810558</v>
      </c>
      <c r="L267">
        <f t="shared" si="41"/>
        <v>1.4367375801078914</v>
      </c>
    </row>
    <row r="268" spans="1:12" x14ac:dyDescent="0.25">
      <c r="A268" s="3">
        <v>41904</v>
      </c>
      <c r="B268" s="3" t="str">
        <f t="shared" si="34"/>
        <v>Sep</v>
      </c>
      <c r="C268" s="3" t="str">
        <f t="shared" si="35"/>
        <v>2014</v>
      </c>
      <c r="D268" s="3" t="str">
        <f t="shared" si="36"/>
        <v>Monday</v>
      </c>
      <c r="E268">
        <v>90815.929810000001</v>
      </c>
      <c r="F268">
        <v>89653.637589999998</v>
      </c>
      <c r="G268">
        <v>2592</v>
      </c>
      <c r="H268" s="1">
        <f t="shared" si="37"/>
        <v>35.037009957561729</v>
      </c>
      <c r="I268" s="1" t="str">
        <f t="shared" si="38"/>
        <v>Low</v>
      </c>
      <c r="J268">
        <f t="shared" si="39"/>
        <v>1.2798329791168639</v>
      </c>
      <c r="K268">
        <f t="shared" si="40"/>
        <v>34.588594749228392</v>
      </c>
      <c r="L268">
        <f t="shared" si="41"/>
        <v>1.279832979116871</v>
      </c>
    </row>
    <row r="269" spans="1:12" x14ac:dyDescent="0.25">
      <c r="A269" s="3">
        <v>41905</v>
      </c>
      <c r="B269" s="3" t="str">
        <f t="shared" si="34"/>
        <v>Sep</v>
      </c>
      <c r="C269" s="3" t="str">
        <f t="shared" si="35"/>
        <v>2014</v>
      </c>
      <c r="D269" s="3" t="str">
        <f t="shared" si="36"/>
        <v>Tuesday</v>
      </c>
      <c r="E269">
        <v>110118.15640000001</v>
      </c>
      <c r="F269">
        <v>108880.409</v>
      </c>
      <c r="G269">
        <v>3143</v>
      </c>
      <c r="H269" s="1">
        <f t="shared" si="37"/>
        <v>35.03600267260579</v>
      </c>
      <c r="I269" s="1" t="str">
        <f t="shared" si="38"/>
        <v>Low</v>
      </c>
      <c r="J269">
        <f t="shared" si="39"/>
        <v>1.1240175466649998</v>
      </c>
      <c r="K269">
        <f t="shared" si="40"/>
        <v>34.642191854915687</v>
      </c>
      <c r="L269">
        <f t="shared" si="41"/>
        <v>1.124017546664986</v>
      </c>
    </row>
    <row r="270" spans="1:12" x14ac:dyDescent="0.25">
      <c r="A270" s="3">
        <v>41906</v>
      </c>
      <c r="B270" s="3" t="str">
        <f t="shared" si="34"/>
        <v>Sep</v>
      </c>
      <c r="C270" s="3" t="str">
        <f t="shared" si="35"/>
        <v>2014</v>
      </c>
      <c r="D270" s="3" t="str">
        <f t="shared" si="36"/>
        <v>Wednesday</v>
      </c>
      <c r="E270">
        <v>209908.38310000001</v>
      </c>
      <c r="F270">
        <v>223554.08660000001</v>
      </c>
      <c r="G270">
        <v>6457</v>
      </c>
      <c r="H270" s="1">
        <f t="shared" si="37"/>
        <v>32.508654653864028</v>
      </c>
      <c r="I270" s="1" t="str">
        <f t="shared" si="38"/>
        <v>Low</v>
      </c>
      <c r="J270">
        <f t="shared" si="39"/>
        <v>-6.5007901535305583</v>
      </c>
      <c r="K270">
        <f t="shared" si="40"/>
        <v>34.621974074647667</v>
      </c>
      <c r="L270">
        <f t="shared" si="41"/>
        <v>-6.5007901535305379</v>
      </c>
    </row>
    <row r="271" spans="1:12" x14ac:dyDescent="0.25">
      <c r="A271" s="3">
        <v>41907</v>
      </c>
      <c r="B271" s="3" t="str">
        <f t="shared" si="34"/>
        <v>Sep</v>
      </c>
      <c r="C271" s="3" t="str">
        <f t="shared" si="35"/>
        <v>2014</v>
      </c>
      <c r="D271" s="3" t="str">
        <f t="shared" si="36"/>
        <v>Thursday</v>
      </c>
      <c r="E271">
        <v>358365.68300000002</v>
      </c>
      <c r="F271">
        <v>382967.98320000002</v>
      </c>
      <c r="G271">
        <v>11039</v>
      </c>
      <c r="H271" s="1">
        <f t="shared" si="37"/>
        <v>32.463600235528581</v>
      </c>
      <c r="I271" s="1" t="str">
        <f t="shared" si="38"/>
        <v>Low</v>
      </c>
      <c r="J271">
        <f t="shared" si="39"/>
        <v>-6.8651384234243205</v>
      </c>
      <c r="K271">
        <f t="shared" si="40"/>
        <v>34.692271328924726</v>
      </c>
      <c r="L271">
        <f t="shared" si="41"/>
        <v>-6.8651384234243311</v>
      </c>
    </row>
    <row r="272" spans="1:12" x14ac:dyDescent="0.25">
      <c r="A272" s="3">
        <v>41908</v>
      </c>
      <c r="B272" s="3" t="str">
        <f t="shared" si="34"/>
        <v>Sep</v>
      </c>
      <c r="C272" s="3" t="str">
        <f t="shared" si="35"/>
        <v>2014</v>
      </c>
      <c r="D272" s="3" t="str">
        <f t="shared" si="36"/>
        <v>Friday</v>
      </c>
      <c r="E272">
        <v>585463.99600000004</v>
      </c>
      <c r="F272">
        <v>625980.93019999994</v>
      </c>
      <c r="G272">
        <v>18036</v>
      </c>
      <c r="H272" s="1">
        <f t="shared" si="37"/>
        <v>32.460855843867819</v>
      </c>
      <c r="I272" s="1" t="str">
        <f t="shared" si="38"/>
        <v>Low</v>
      </c>
      <c r="J272">
        <f t="shared" si="39"/>
        <v>-6.9204826388674974</v>
      </c>
      <c r="K272">
        <f t="shared" si="40"/>
        <v>34.707303736970502</v>
      </c>
      <c r="L272">
        <f t="shared" si="41"/>
        <v>-6.9204826388675142</v>
      </c>
    </row>
    <row r="273" spans="1:12" x14ac:dyDescent="0.25">
      <c r="A273" s="3">
        <v>41909</v>
      </c>
      <c r="B273" s="3" t="str">
        <f t="shared" si="34"/>
        <v>Sep</v>
      </c>
      <c r="C273" s="3" t="str">
        <f t="shared" si="35"/>
        <v>2014</v>
      </c>
      <c r="D273" s="3" t="str">
        <f t="shared" si="36"/>
        <v>Saturday</v>
      </c>
      <c r="E273">
        <v>617019.09149999998</v>
      </c>
      <c r="F273">
        <v>661010.59129999997</v>
      </c>
      <c r="G273">
        <v>19017</v>
      </c>
      <c r="H273" s="1">
        <f t="shared" si="37"/>
        <v>32.445658700110428</v>
      </c>
      <c r="I273" s="1" t="str">
        <f t="shared" si="38"/>
        <v>Low</v>
      </c>
      <c r="J273">
        <f t="shared" si="39"/>
        <v>-7.129682112923728</v>
      </c>
      <c r="K273">
        <f t="shared" si="40"/>
        <v>34.758931024872481</v>
      </c>
      <c r="L273">
        <f t="shared" si="41"/>
        <v>-7.1296821129237244</v>
      </c>
    </row>
    <row r="274" spans="1:12" x14ac:dyDescent="0.25">
      <c r="A274" s="3">
        <v>41910</v>
      </c>
      <c r="B274" s="3" t="str">
        <f t="shared" si="34"/>
        <v>Sep</v>
      </c>
      <c r="C274" s="3" t="str">
        <f t="shared" si="35"/>
        <v>2014</v>
      </c>
      <c r="D274" s="3" t="str">
        <f t="shared" si="36"/>
        <v>Sunday</v>
      </c>
      <c r="E274">
        <v>283850.59710000001</v>
      </c>
      <c r="F274">
        <v>304440.65149999998</v>
      </c>
      <c r="G274">
        <v>8747</v>
      </c>
      <c r="H274" s="1">
        <f t="shared" si="37"/>
        <v>32.451194363781873</v>
      </c>
      <c r="I274" s="1" t="str">
        <f t="shared" si="38"/>
        <v>Low</v>
      </c>
      <c r="J274">
        <f t="shared" si="39"/>
        <v>-7.2538351549586944</v>
      </c>
      <c r="K274">
        <f t="shared" si="40"/>
        <v>34.805150508745854</v>
      </c>
      <c r="L274">
        <f t="shared" si="41"/>
        <v>-7.2538351549586837</v>
      </c>
    </row>
    <row r="275" spans="1:12" x14ac:dyDescent="0.25">
      <c r="A275" s="3">
        <v>41911</v>
      </c>
      <c r="B275" s="3" t="str">
        <f t="shared" si="34"/>
        <v>Sep</v>
      </c>
      <c r="C275" s="3" t="str">
        <f t="shared" si="35"/>
        <v>2014</v>
      </c>
      <c r="D275" s="3" t="str">
        <f t="shared" si="36"/>
        <v>Monday</v>
      </c>
      <c r="E275">
        <v>264317.11040000001</v>
      </c>
      <c r="F275">
        <v>283912.96870000003</v>
      </c>
      <c r="G275">
        <v>8147</v>
      </c>
      <c r="H275" s="1">
        <f t="shared" si="37"/>
        <v>32.443489677181788</v>
      </c>
      <c r="I275" s="1" t="str">
        <f t="shared" si="38"/>
        <v>Low</v>
      </c>
      <c r="J275">
        <f t="shared" si="39"/>
        <v>-7.4137683596589525</v>
      </c>
      <c r="K275">
        <f t="shared" si="40"/>
        <v>34.848774849637906</v>
      </c>
      <c r="L275">
        <f t="shared" si="41"/>
        <v>-7.413768359658941</v>
      </c>
    </row>
    <row r="276" spans="1:12" x14ac:dyDescent="0.25">
      <c r="A276" s="3">
        <v>41912</v>
      </c>
      <c r="B276" s="3" t="str">
        <f t="shared" si="34"/>
        <v>Sep</v>
      </c>
      <c r="C276" s="3" t="str">
        <f t="shared" si="35"/>
        <v>2014</v>
      </c>
      <c r="D276" s="3" t="str">
        <f t="shared" si="36"/>
        <v>Tuesday</v>
      </c>
      <c r="E276">
        <v>358024.98129999998</v>
      </c>
      <c r="F276">
        <v>384823.4399</v>
      </c>
      <c r="G276">
        <v>11036</v>
      </c>
      <c r="H276" s="1">
        <f t="shared" si="37"/>
        <v>32.441553216745199</v>
      </c>
      <c r="I276" s="1" t="str">
        <f t="shared" si="38"/>
        <v>Low</v>
      </c>
      <c r="J276">
        <f t="shared" si="39"/>
        <v>-7.485080650711569</v>
      </c>
      <c r="K276">
        <f t="shared" si="40"/>
        <v>34.869829639362088</v>
      </c>
      <c r="L276">
        <f t="shared" si="41"/>
        <v>-7.4850806507115619</v>
      </c>
    </row>
    <row r="277" spans="1:12" x14ac:dyDescent="0.25">
      <c r="A277" s="3">
        <v>41913</v>
      </c>
      <c r="B277" s="3" t="str">
        <f t="shared" si="34"/>
        <v>Oct</v>
      </c>
      <c r="C277" s="3" t="str">
        <f t="shared" si="35"/>
        <v>2014</v>
      </c>
      <c r="D277" s="3" t="str">
        <f t="shared" si="36"/>
        <v>Wednesday</v>
      </c>
      <c r="E277">
        <v>594438.28079999995</v>
      </c>
      <c r="F277">
        <v>639306.56880000001</v>
      </c>
      <c r="G277">
        <v>18330</v>
      </c>
      <c r="H277" s="1">
        <f t="shared" si="37"/>
        <v>32.429802553191486</v>
      </c>
      <c r="I277" s="1" t="str">
        <f t="shared" si="38"/>
        <v>Low</v>
      </c>
      <c r="J277">
        <f t="shared" si="39"/>
        <v>-7.5480145625237904</v>
      </c>
      <c r="K277">
        <f t="shared" si="40"/>
        <v>34.87760877250409</v>
      </c>
      <c r="L277">
        <f t="shared" si="41"/>
        <v>-7.5480145625237842</v>
      </c>
    </row>
    <row r="278" spans="1:12" x14ac:dyDescent="0.25">
      <c r="A278" s="3">
        <v>41914</v>
      </c>
      <c r="B278" s="3" t="str">
        <f t="shared" si="34"/>
        <v>Oct</v>
      </c>
      <c r="C278" s="3" t="str">
        <f t="shared" si="35"/>
        <v>2014</v>
      </c>
      <c r="D278" s="3" t="str">
        <f t="shared" si="36"/>
        <v>Thursday</v>
      </c>
      <c r="E278">
        <v>470507.663</v>
      </c>
      <c r="F278">
        <v>506072.03330000001</v>
      </c>
      <c r="G278">
        <v>14503</v>
      </c>
      <c r="H278" s="1">
        <f t="shared" si="37"/>
        <v>32.442092187823206</v>
      </c>
      <c r="I278" s="1" t="str">
        <f t="shared" si="38"/>
        <v>Low</v>
      </c>
      <c r="J278">
        <f t="shared" si="39"/>
        <v>-7.5587228639887236</v>
      </c>
      <c r="K278">
        <f t="shared" si="40"/>
        <v>34.894300027580499</v>
      </c>
      <c r="L278">
        <f t="shared" si="41"/>
        <v>-7.5587228639887245</v>
      </c>
    </row>
    <row r="279" spans="1:12" x14ac:dyDescent="0.25">
      <c r="A279" s="3">
        <v>41915</v>
      </c>
      <c r="B279" s="3" t="str">
        <f t="shared" si="34"/>
        <v>Oct</v>
      </c>
      <c r="C279" s="3" t="str">
        <f t="shared" si="35"/>
        <v>2014</v>
      </c>
      <c r="D279" s="3" t="str">
        <f t="shared" si="36"/>
        <v>Friday</v>
      </c>
      <c r="E279">
        <v>518693.52870000002</v>
      </c>
      <c r="F279">
        <v>557939.36930000002</v>
      </c>
      <c r="G279">
        <v>15986</v>
      </c>
      <c r="H279" s="1">
        <f t="shared" si="37"/>
        <v>32.446736438133371</v>
      </c>
      <c r="I279" s="1" t="str">
        <f t="shared" si="38"/>
        <v>Low</v>
      </c>
      <c r="J279">
        <f t="shared" si="39"/>
        <v>-7.5662869167390081</v>
      </c>
      <c r="K279">
        <f t="shared" si="40"/>
        <v>34.901749612160643</v>
      </c>
      <c r="L279">
        <f t="shared" si="41"/>
        <v>-7.5662869167390028</v>
      </c>
    </row>
    <row r="280" spans="1:12" x14ac:dyDescent="0.25">
      <c r="A280" s="3">
        <v>41916</v>
      </c>
      <c r="B280" s="3" t="str">
        <f t="shared" si="34"/>
        <v>Oct</v>
      </c>
      <c r="C280" s="3" t="str">
        <f t="shared" si="35"/>
        <v>2014</v>
      </c>
      <c r="D280" s="3" t="str">
        <f t="shared" si="36"/>
        <v>Saturday</v>
      </c>
      <c r="E280">
        <v>656245.8284</v>
      </c>
      <c r="F280">
        <v>705891.3003</v>
      </c>
      <c r="G280">
        <v>20223</v>
      </c>
      <c r="H280" s="1">
        <f t="shared" si="37"/>
        <v>32.450468694061215</v>
      </c>
      <c r="I280" s="1" t="str">
        <f t="shared" si="38"/>
        <v>Low</v>
      </c>
      <c r="J280">
        <f t="shared" si="39"/>
        <v>-7.5650723785995204</v>
      </c>
      <c r="K280">
        <f t="shared" si="40"/>
        <v>34.905370137961725</v>
      </c>
      <c r="L280">
        <f t="shared" si="41"/>
        <v>-7.565072378599524</v>
      </c>
    </row>
    <row r="281" spans="1:12" x14ac:dyDescent="0.25">
      <c r="A281" s="3">
        <v>41917</v>
      </c>
      <c r="B281" s="3" t="str">
        <f t="shared" si="34"/>
        <v>Oct</v>
      </c>
      <c r="C281" s="3" t="str">
        <f t="shared" si="35"/>
        <v>2014</v>
      </c>
      <c r="D281" s="3" t="str">
        <f t="shared" si="36"/>
        <v>Sunday</v>
      </c>
      <c r="E281">
        <v>280055.1177</v>
      </c>
      <c r="F281">
        <v>301279.65500000003</v>
      </c>
      <c r="G281">
        <v>8631</v>
      </c>
      <c r="H281" s="1">
        <f t="shared" si="37"/>
        <v>32.447586339937438</v>
      </c>
      <c r="I281" s="1" t="str">
        <f t="shared" si="38"/>
        <v>Low</v>
      </c>
      <c r="J281">
        <f t="shared" si="39"/>
        <v>-7.5787000338755197</v>
      </c>
      <c r="K281">
        <f t="shared" si="40"/>
        <v>34.90669157687406</v>
      </c>
      <c r="L281">
        <f t="shared" si="41"/>
        <v>-7.5787000338755055</v>
      </c>
    </row>
    <row r="282" spans="1:12" x14ac:dyDescent="0.25">
      <c r="A282" s="3">
        <v>41918</v>
      </c>
      <c r="B282" s="3" t="str">
        <f t="shared" si="34"/>
        <v>Oct</v>
      </c>
      <c r="C282" s="3" t="str">
        <f t="shared" si="35"/>
        <v>2014</v>
      </c>
      <c r="D282" s="3" t="str">
        <f t="shared" si="36"/>
        <v>Monday</v>
      </c>
      <c r="E282">
        <v>375648.01750000002</v>
      </c>
      <c r="F282">
        <v>404178.92109999998</v>
      </c>
      <c r="G282">
        <v>11579</v>
      </c>
      <c r="H282" s="1">
        <f t="shared" si="37"/>
        <v>32.442181319630365</v>
      </c>
      <c r="I282" s="1" t="str">
        <f t="shared" si="38"/>
        <v>Low</v>
      </c>
      <c r="J282">
        <f t="shared" si="39"/>
        <v>-7.5951162446904057</v>
      </c>
      <c r="K282">
        <f t="shared" si="40"/>
        <v>34.906202703169527</v>
      </c>
      <c r="L282">
        <f t="shared" si="41"/>
        <v>-7.5951162446904057</v>
      </c>
    </row>
    <row r="283" spans="1:12" x14ac:dyDescent="0.25">
      <c r="A283" s="3">
        <v>41919</v>
      </c>
      <c r="B283" s="3" t="str">
        <f t="shared" si="34"/>
        <v>Oct</v>
      </c>
      <c r="C283" s="3" t="str">
        <f t="shared" si="35"/>
        <v>2014</v>
      </c>
      <c r="D283" s="3" t="str">
        <f t="shared" si="36"/>
        <v>Tuesday</v>
      </c>
      <c r="E283">
        <v>78111.716459999996</v>
      </c>
      <c r="F283">
        <v>74251.874729999996</v>
      </c>
      <c r="G283">
        <v>2127</v>
      </c>
      <c r="H283" s="1">
        <f t="shared" si="37"/>
        <v>36.723891142454157</v>
      </c>
      <c r="I283" s="1" t="str">
        <f t="shared" si="38"/>
        <v>Low</v>
      </c>
      <c r="J283">
        <f t="shared" si="39"/>
        <v>4.9414376036360377</v>
      </c>
      <c r="K283">
        <f t="shared" si="40"/>
        <v>34.909202976022563</v>
      </c>
      <c r="L283">
        <f t="shared" si="41"/>
        <v>4.9414376036360386</v>
      </c>
    </row>
    <row r="284" spans="1:12" x14ac:dyDescent="0.25">
      <c r="A284" s="3">
        <v>41920</v>
      </c>
      <c r="B284" s="3" t="str">
        <f t="shared" si="34"/>
        <v>Oct</v>
      </c>
      <c r="C284" s="3" t="str">
        <f t="shared" si="35"/>
        <v>2014</v>
      </c>
      <c r="D284" s="3" t="str">
        <f t="shared" si="36"/>
        <v>Wednesday</v>
      </c>
      <c r="E284">
        <v>70509.132790000003</v>
      </c>
      <c r="F284">
        <v>67141.979630000002</v>
      </c>
      <c r="G284">
        <v>1923</v>
      </c>
      <c r="H284" s="1">
        <f t="shared" si="37"/>
        <v>36.66621569942798</v>
      </c>
      <c r="I284" s="1" t="str">
        <f t="shared" si="38"/>
        <v>Low</v>
      </c>
      <c r="J284">
        <f t="shared" si="39"/>
        <v>4.7754851418021556</v>
      </c>
      <c r="K284">
        <f t="shared" si="40"/>
        <v>34.915226016640666</v>
      </c>
      <c r="L284">
        <f t="shared" si="41"/>
        <v>4.7754851418021582</v>
      </c>
    </row>
    <row r="285" spans="1:12" x14ac:dyDescent="0.25">
      <c r="A285" s="3">
        <v>41921</v>
      </c>
      <c r="B285" s="3" t="str">
        <f t="shared" si="34"/>
        <v>Oct</v>
      </c>
      <c r="C285" s="3" t="str">
        <f t="shared" si="35"/>
        <v>2014</v>
      </c>
      <c r="D285" s="3" t="str">
        <f t="shared" si="36"/>
        <v>Thursday</v>
      </c>
      <c r="E285">
        <v>103281.311</v>
      </c>
      <c r="F285">
        <v>98065.939079999996</v>
      </c>
      <c r="G285">
        <v>2809</v>
      </c>
      <c r="H285" s="1">
        <f t="shared" si="37"/>
        <v>36.767999644001428</v>
      </c>
      <c r="I285" s="1" t="str">
        <f t="shared" si="38"/>
        <v>Low</v>
      </c>
      <c r="J285">
        <f t="shared" si="39"/>
        <v>5.0496763349566747</v>
      </c>
      <c r="K285">
        <f t="shared" si="40"/>
        <v>34.911334667141332</v>
      </c>
      <c r="L285">
        <f t="shared" si="41"/>
        <v>5.0496763349566773</v>
      </c>
    </row>
    <row r="286" spans="1:12" x14ac:dyDescent="0.25">
      <c r="A286" s="3">
        <v>41922</v>
      </c>
      <c r="B286" s="3" t="str">
        <f t="shared" si="34"/>
        <v>Oct</v>
      </c>
      <c r="C286" s="3" t="str">
        <f t="shared" si="35"/>
        <v>2014</v>
      </c>
      <c r="D286" s="3" t="str">
        <f t="shared" si="36"/>
        <v>Friday</v>
      </c>
      <c r="E286">
        <v>179841.43179999999</v>
      </c>
      <c r="F286">
        <v>170757.58119999999</v>
      </c>
      <c r="G286">
        <v>4891</v>
      </c>
      <c r="H286" s="1">
        <f t="shared" si="37"/>
        <v>36.769869515436511</v>
      </c>
      <c r="I286" s="1" t="str">
        <f t="shared" si="38"/>
        <v>Low</v>
      </c>
      <c r="J286">
        <f t="shared" si="39"/>
        <v>5.0510332958770432</v>
      </c>
      <c r="K286">
        <f t="shared" si="40"/>
        <v>34.912611163361269</v>
      </c>
      <c r="L286">
        <f t="shared" si="41"/>
        <v>5.051033295877045</v>
      </c>
    </row>
    <row r="287" spans="1:12" x14ac:dyDescent="0.25">
      <c r="A287" s="3">
        <v>41923</v>
      </c>
      <c r="B287" s="3" t="str">
        <f t="shared" si="34"/>
        <v>Oct</v>
      </c>
      <c r="C287" s="3" t="str">
        <f t="shared" si="35"/>
        <v>2014</v>
      </c>
      <c r="D287" s="3" t="str">
        <f t="shared" si="36"/>
        <v>Saturday</v>
      </c>
      <c r="E287">
        <v>138038.23980000001</v>
      </c>
      <c r="F287">
        <v>131192.3168</v>
      </c>
      <c r="G287">
        <v>3758</v>
      </c>
      <c r="H287" s="1">
        <f t="shared" si="37"/>
        <v>36.731836029803091</v>
      </c>
      <c r="I287" s="1" t="str">
        <f t="shared" si="38"/>
        <v>Low</v>
      </c>
      <c r="J287">
        <f t="shared" si="39"/>
        <v>4.9594395074284403</v>
      </c>
      <c r="K287">
        <f t="shared" si="40"/>
        <v>34.910142841937201</v>
      </c>
      <c r="L287">
        <f t="shared" si="41"/>
        <v>4.959439507428443</v>
      </c>
    </row>
    <row r="288" spans="1:12" x14ac:dyDescent="0.25">
      <c r="A288" s="3">
        <v>41924</v>
      </c>
      <c r="B288" s="3" t="str">
        <f t="shared" si="34"/>
        <v>Oct</v>
      </c>
      <c r="C288" s="3" t="str">
        <f t="shared" si="35"/>
        <v>2014</v>
      </c>
      <c r="D288" s="3" t="str">
        <f t="shared" si="36"/>
        <v>Sunday</v>
      </c>
      <c r="E288">
        <v>61037.562230000003</v>
      </c>
      <c r="F288">
        <v>57992.341509999998</v>
      </c>
      <c r="G288">
        <v>1661</v>
      </c>
      <c r="H288" s="1">
        <f t="shared" si="37"/>
        <v>36.747478765803734</v>
      </c>
      <c r="I288" s="1" t="str">
        <f t="shared" si="38"/>
        <v>Low</v>
      </c>
      <c r="J288">
        <f t="shared" si="39"/>
        <v>4.9890929597173148</v>
      </c>
      <c r="K288">
        <f t="shared" si="40"/>
        <v>34.914112889825404</v>
      </c>
      <c r="L288">
        <f t="shared" si="41"/>
        <v>4.9890929597173184</v>
      </c>
    </row>
    <row r="289" spans="1:12" x14ac:dyDescent="0.25">
      <c r="A289" s="3">
        <v>41925</v>
      </c>
      <c r="B289" s="3" t="str">
        <f t="shared" si="34"/>
        <v>Oct</v>
      </c>
      <c r="C289" s="3" t="str">
        <f t="shared" si="35"/>
        <v>2014</v>
      </c>
      <c r="D289" s="3" t="str">
        <f t="shared" si="36"/>
        <v>Monday</v>
      </c>
      <c r="E289">
        <v>86799.759449999998</v>
      </c>
      <c r="F289">
        <v>82392.333259999999</v>
      </c>
      <c r="G289">
        <v>2360</v>
      </c>
      <c r="H289" s="1">
        <f t="shared" si="37"/>
        <v>36.779559088983049</v>
      </c>
      <c r="I289" s="1" t="str">
        <f t="shared" si="38"/>
        <v>Low</v>
      </c>
      <c r="J289">
        <f t="shared" si="39"/>
        <v>5.0776940142775917</v>
      </c>
      <c r="K289">
        <f t="shared" si="40"/>
        <v>34.912005618644066</v>
      </c>
      <c r="L289">
        <f t="shared" si="41"/>
        <v>5.0776940142775935</v>
      </c>
    </row>
    <row r="290" spans="1:12" x14ac:dyDescent="0.25">
      <c r="A290" s="3">
        <v>41926</v>
      </c>
      <c r="B290" s="3" t="str">
        <f t="shared" si="34"/>
        <v>Oct</v>
      </c>
      <c r="C290" s="3" t="str">
        <f t="shared" si="35"/>
        <v>2014</v>
      </c>
      <c r="D290" s="3" t="str">
        <f t="shared" si="36"/>
        <v>Tuesday</v>
      </c>
      <c r="E290">
        <v>69570.501470000003</v>
      </c>
      <c r="F290">
        <v>66313.940979999999</v>
      </c>
      <c r="G290">
        <v>1894</v>
      </c>
      <c r="H290" s="1">
        <f t="shared" si="37"/>
        <v>36.73204935058078</v>
      </c>
      <c r="I290" s="1" t="str">
        <f t="shared" si="38"/>
        <v>Low</v>
      </c>
      <c r="J290">
        <f t="shared" si="39"/>
        <v>4.6809501458089802</v>
      </c>
      <c r="K290">
        <f t="shared" si="40"/>
        <v>35.012640432946142</v>
      </c>
      <c r="L290">
        <f t="shared" si="41"/>
        <v>4.6809501458089811</v>
      </c>
    </row>
    <row r="291" spans="1:12" x14ac:dyDescent="0.25">
      <c r="A291" s="3">
        <v>41927</v>
      </c>
      <c r="B291" s="3" t="str">
        <f t="shared" si="34"/>
        <v>Oct</v>
      </c>
      <c r="C291" s="3" t="str">
        <f t="shared" si="35"/>
        <v>2014</v>
      </c>
      <c r="D291" s="3" t="str">
        <f t="shared" si="36"/>
        <v>Wednesday</v>
      </c>
      <c r="E291">
        <v>130476.3553</v>
      </c>
      <c r="F291">
        <v>124398.4316</v>
      </c>
      <c r="G291">
        <v>3548</v>
      </c>
      <c r="H291" s="1">
        <f t="shared" si="37"/>
        <v>36.77462099774521</v>
      </c>
      <c r="I291" s="1" t="str">
        <f t="shared" si="38"/>
        <v>Low</v>
      </c>
      <c r="J291">
        <f t="shared" si="39"/>
        <v>4.6582568052466122</v>
      </c>
      <c r="K291">
        <f t="shared" si="40"/>
        <v>35.061564712514091</v>
      </c>
      <c r="L291">
        <f t="shared" si="41"/>
        <v>4.6582568052466193</v>
      </c>
    </row>
    <row r="292" spans="1:12" x14ac:dyDescent="0.25">
      <c r="A292" s="3">
        <v>41928</v>
      </c>
      <c r="B292" s="3" t="str">
        <f t="shared" si="34"/>
        <v>Oct</v>
      </c>
      <c r="C292" s="3" t="str">
        <f t="shared" si="35"/>
        <v>2014</v>
      </c>
      <c r="D292" s="3" t="str">
        <f t="shared" si="36"/>
        <v>Thursday</v>
      </c>
      <c r="E292">
        <v>95229.773480000003</v>
      </c>
      <c r="F292">
        <v>91087.851339999994</v>
      </c>
      <c r="G292">
        <v>2591</v>
      </c>
      <c r="H292" s="1">
        <f t="shared" si="37"/>
        <v>36.754061551524508</v>
      </c>
      <c r="I292" s="1" t="str">
        <f t="shared" si="38"/>
        <v>Low</v>
      </c>
      <c r="J292">
        <f t="shared" si="39"/>
        <v>4.3493982907245803</v>
      </c>
      <c r="K292">
        <f t="shared" si="40"/>
        <v>35.155481026630639</v>
      </c>
      <c r="L292">
        <f t="shared" si="41"/>
        <v>4.3493982907245856</v>
      </c>
    </row>
    <row r="293" spans="1:12" x14ac:dyDescent="0.25">
      <c r="A293" s="3">
        <v>41929</v>
      </c>
      <c r="B293" s="3" t="str">
        <f t="shared" si="34"/>
        <v>Oct</v>
      </c>
      <c r="C293" s="3" t="str">
        <f t="shared" si="35"/>
        <v>2014</v>
      </c>
      <c r="D293" s="3" t="str">
        <f t="shared" si="36"/>
        <v>Friday</v>
      </c>
      <c r="E293">
        <v>121057.8613</v>
      </c>
      <c r="F293">
        <v>116949.7913</v>
      </c>
      <c r="G293">
        <v>3293</v>
      </c>
      <c r="H293" s="1">
        <f t="shared" si="37"/>
        <v>36.76218077740662</v>
      </c>
      <c r="I293" s="1" t="str">
        <f t="shared" si="38"/>
        <v>Low</v>
      </c>
      <c r="J293">
        <f t="shared" si="39"/>
        <v>3.3934764383616338</v>
      </c>
      <c r="K293">
        <f t="shared" si="40"/>
        <v>35.514664834497417</v>
      </c>
      <c r="L293">
        <f t="shared" si="41"/>
        <v>3.3934764383616334</v>
      </c>
    </row>
    <row r="294" spans="1:12" x14ac:dyDescent="0.25">
      <c r="A294" s="3">
        <v>41930</v>
      </c>
      <c r="B294" s="3" t="str">
        <f t="shared" si="34"/>
        <v>Oct</v>
      </c>
      <c r="C294" s="3" t="str">
        <f t="shared" si="35"/>
        <v>2014</v>
      </c>
      <c r="D294" s="3" t="str">
        <f t="shared" si="36"/>
        <v>Saturday</v>
      </c>
      <c r="E294">
        <v>169498.91639999999</v>
      </c>
      <c r="F294">
        <v>164492.9466</v>
      </c>
      <c r="G294">
        <v>4611</v>
      </c>
      <c r="H294" s="1">
        <f t="shared" si="37"/>
        <v>36.759686922576442</v>
      </c>
      <c r="I294" s="1" t="str">
        <f t="shared" si="38"/>
        <v>Low</v>
      </c>
      <c r="J294">
        <f t="shared" si="39"/>
        <v>2.9533933940830739</v>
      </c>
      <c r="K294">
        <f t="shared" si="40"/>
        <v>35.674028757319455</v>
      </c>
      <c r="L294">
        <f t="shared" si="41"/>
        <v>2.9533933940830601</v>
      </c>
    </row>
    <row r="295" spans="1:12" x14ac:dyDescent="0.25">
      <c r="A295" s="3">
        <v>41931</v>
      </c>
      <c r="B295" s="3" t="str">
        <f t="shared" si="34"/>
        <v>Oct</v>
      </c>
      <c r="C295" s="3" t="str">
        <f t="shared" si="35"/>
        <v>2014</v>
      </c>
      <c r="D295" s="3" t="str">
        <f t="shared" si="36"/>
        <v>Sunday</v>
      </c>
      <c r="E295">
        <v>90692.375880000007</v>
      </c>
      <c r="F295">
        <v>87911.211580000003</v>
      </c>
      <c r="G295">
        <v>2468</v>
      </c>
      <c r="H295" s="1">
        <f t="shared" si="37"/>
        <v>36.747315996758509</v>
      </c>
      <c r="I295" s="1" t="str">
        <f t="shared" si="38"/>
        <v>Low</v>
      </c>
      <c r="J295">
        <f t="shared" si="39"/>
        <v>3.0665910701026435</v>
      </c>
      <c r="K295">
        <f t="shared" si="40"/>
        <v>35.620426085899517</v>
      </c>
      <c r="L295">
        <f t="shared" si="41"/>
        <v>3.0665910701026311</v>
      </c>
    </row>
    <row r="296" spans="1:12" x14ac:dyDescent="0.25">
      <c r="A296" s="3">
        <v>41932</v>
      </c>
      <c r="B296" s="3" t="str">
        <f t="shared" si="34"/>
        <v>Oct</v>
      </c>
      <c r="C296" s="3" t="str">
        <f t="shared" si="35"/>
        <v>2014</v>
      </c>
      <c r="D296" s="3" t="str">
        <f t="shared" si="36"/>
        <v>Monday</v>
      </c>
      <c r="E296">
        <v>101723.91499999999</v>
      </c>
      <c r="F296">
        <v>98870.811879999994</v>
      </c>
      <c r="G296">
        <v>2773</v>
      </c>
      <c r="H296" s="1">
        <f t="shared" si="37"/>
        <v>36.68370537324197</v>
      </c>
      <c r="I296" s="1" t="str">
        <f t="shared" si="38"/>
        <v>Low</v>
      </c>
      <c r="J296">
        <f t="shared" si="39"/>
        <v>2.8047515866844095</v>
      </c>
      <c r="K296">
        <f t="shared" si="40"/>
        <v>35.654818564731336</v>
      </c>
      <c r="L296">
        <f t="shared" si="41"/>
        <v>2.8047515866843993</v>
      </c>
    </row>
    <row r="297" spans="1:12" x14ac:dyDescent="0.25">
      <c r="A297" s="3">
        <v>41933</v>
      </c>
      <c r="B297" s="3" t="str">
        <f t="shared" si="34"/>
        <v>Oct</v>
      </c>
      <c r="C297" s="3" t="str">
        <f t="shared" si="35"/>
        <v>2014</v>
      </c>
      <c r="D297" s="3" t="str">
        <f t="shared" si="36"/>
        <v>Tuesday</v>
      </c>
      <c r="E297">
        <v>103395.69130000001</v>
      </c>
      <c r="F297">
        <v>100424.1557</v>
      </c>
      <c r="G297">
        <v>2815</v>
      </c>
      <c r="H297" s="1">
        <f t="shared" si="37"/>
        <v>36.730263339254002</v>
      </c>
      <c r="I297" s="1" t="str">
        <f t="shared" si="38"/>
        <v>Low</v>
      </c>
      <c r="J297">
        <f t="shared" si="39"/>
        <v>2.8739452898266009</v>
      </c>
      <c r="K297">
        <f t="shared" si="40"/>
        <v>35.674655666074599</v>
      </c>
      <c r="L297">
        <f t="shared" si="41"/>
        <v>2.8739452898266142</v>
      </c>
    </row>
    <row r="298" spans="1:12" x14ac:dyDescent="0.25">
      <c r="A298" s="3">
        <v>41934</v>
      </c>
      <c r="B298" s="3" t="str">
        <f t="shared" si="34"/>
        <v>Oct</v>
      </c>
      <c r="C298" s="3" t="str">
        <f t="shared" si="35"/>
        <v>2014</v>
      </c>
      <c r="D298" s="3" t="str">
        <f t="shared" si="36"/>
        <v>Wednesday</v>
      </c>
      <c r="E298">
        <v>99075.599100000007</v>
      </c>
      <c r="F298">
        <v>96511.722160000005</v>
      </c>
      <c r="G298">
        <v>2701</v>
      </c>
      <c r="H298" s="1">
        <f t="shared" si="37"/>
        <v>36.681080747871164</v>
      </c>
      <c r="I298" s="1" t="str">
        <f t="shared" si="38"/>
        <v>Low</v>
      </c>
      <c r="J298">
        <f t="shared" si="39"/>
        <v>2.5877985733017907</v>
      </c>
      <c r="K298">
        <f t="shared" si="40"/>
        <v>35.731848263606075</v>
      </c>
      <c r="L298">
        <f t="shared" si="41"/>
        <v>2.5877985733017934</v>
      </c>
    </row>
    <row r="299" spans="1:12" x14ac:dyDescent="0.25">
      <c r="A299" s="3">
        <v>41935</v>
      </c>
      <c r="B299" s="3" t="str">
        <f t="shared" si="34"/>
        <v>Oct</v>
      </c>
      <c r="C299" s="3" t="str">
        <f t="shared" si="35"/>
        <v>2014</v>
      </c>
      <c r="D299" s="3" t="str">
        <f t="shared" si="36"/>
        <v>Thursday</v>
      </c>
      <c r="E299">
        <v>97476.144719999997</v>
      </c>
      <c r="F299">
        <v>94763.842550000001</v>
      </c>
      <c r="G299">
        <v>2651</v>
      </c>
      <c r="H299" s="1">
        <f t="shared" si="37"/>
        <v>36.769575526216521</v>
      </c>
      <c r="I299" s="1" t="str">
        <f t="shared" si="38"/>
        <v>Low</v>
      </c>
      <c r="J299">
        <f t="shared" si="39"/>
        <v>2.7825291796173079</v>
      </c>
      <c r="K299">
        <f t="shared" si="40"/>
        <v>35.746451357978124</v>
      </c>
      <c r="L299">
        <f t="shared" si="41"/>
        <v>2.7825291796173017</v>
      </c>
    </row>
    <row r="300" spans="1:12" x14ac:dyDescent="0.25">
      <c r="A300" s="3">
        <v>41936</v>
      </c>
      <c r="B300" s="3" t="str">
        <f t="shared" si="34"/>
        <v>Oct</v>
      </c>
      <c r="C300" s="3" t="str">
        <f t="shared" si="35"/>
        <v>2014</v>
      </c>
      <c r="D300" s="3" t="str">
        <f t="shared" si="36"/>
        <v>Friday</v>
      </c>
      <c r="E300">
        <v>248974.65280000001</v>
      </c>
      <c r="F300">
        <v>241961.14319999999</v>
      </c>
      <c r="G300">
        <v>6781</v>
      </c>
      <c r="H300" s="1">
        <f t="shared" si="37"/>
        <v>36.716509777318983</v>
      </c>
      <c r="I300" s="1" t="str">
        <f t="shared" si="38"/>
        <v>Low</v>
      </c>
      <c r="J300">
        <f t="shared" si="39"/>
        <v>2.8169572770260811</v>
      </c>
      <c r="K300">
        <f t="shared" si="40"/>
        <v>35.682221383276804</v>
      </c>
      <c r="L300">
        <f t="shared" si="41"/>
        <v>2.816957277026078</v>
      </c>
    </row>
    <row r="301" spans="1:12" x14ac:dyDescent="0.25">
      <c r="A301" s="3">
        <v>41937</v>
      </c>
      <c r="B301" s="3" t="str">
        <f t="shared" si="34"/>
        <v>Oct</v>
      </c>
      <c r="C301" s="3" t="str">
        <f t="shared" si="35"/>
        <v>2014</v>
      </c>
      <c r="D301" s="3" t="str">
        <f t="shared" si="36"/>
        <v>Saturday</v>
      </c>
      <c r="E301">
        <v>302721.68329999998</v>
      </c>
      <c r="F301">
        <v>294129.67109999998</v>
      </c>
      <c r="G301">
        <v>8249</v>
      </c>
      <c r="H301" s="1">
        <f t="shared" si="37"/>
        <v>36.69798561037701</v>
      </c>
      <c r="I301" s="1" t="str">
        <f t="shared" si="38"/>
        <v>Low</v>
      </c>
      <c r="J301">
        <f t="shared" si="39"/>
        <v>2.8382546325514562</v>
      </c>
      <c r="K301">
        <f t="shared" si="40"/>
        <v>35.656403333737423</v>
      </c>
      <c r="L301">
        <f t="shared" si="41"/>
        <v>2.8382546325514437</v>
      </c>
    </row>
    <row r="302" spans="1:12" x14ac:dyDescent="0.25">
      <c r="A302" s="3">
        <v>41938</v>
      </c>
      <c r="B302" s="3" t="str">
        <f t="shared" si="34"/>
        <v>Oct</v>
      </c>
      <c r="C302" s="3" t="str">
        <f t="shared" si="35"/>
        <v>2014</v>
      </c>
      <c r="D302" s="3" t="str">
        <f t="shared" si="36"/>
        <v>Sunday</v>
      </c>
      <c r="E302">
        <v>128520.72779999999</v>
      </c>
      <c r="F302">
        <v>124739.23390000001</v>
      </c>
      <c r="G302">
        <v>3502</v>
      </c>
      <c r="H302" s="1">
        <f t="shared" si="37"/>
        <v>36.699236950314102</v>
      </c>
      <c r="I302" s="1" t="str">
        <f t="shared" si="38"/>
        <v>Low</v>
      </c>
      <c r="J302">
        <f t="shared" si="39"/>
        <v>2.942322195595275</v>
      </c>
      <c r="K302">
        <f t="shared" si="40"/>
        <v>35.619427155910913</v>
      </c>
      <c r="L302">
        <f t="shared" si="41"/>
        <v>2.9423221955952616</v>
      </c>
    </row>
    <row r="303" spans="1:12" x14ac:dyDescent="0.25">
      <c r="A303" s="3">
        <v>41939</v>
      </c>
      <c r="B303" s="3" t="str">
        <f t="shared" si="34"/>
        <v>Oct</v>
      </c>
      <c r="C303" s="3" t="str">
        <f t="shared" si="35"/>
        <v>2014</v>
      </c>
      <c r="D303" s="3" t="str">
        <f t="shared" si="36"/>
        <v>Monday</v>
      </c>
      <c r="E303">
        <v>145185.2683</v>
      </c>
      <c r="F303">
        <v>140651.93719999999</v>
      </c>
      <c r="G303">
        <v>3949</v>
      </c>
      <c r="H303" s="1">
        <f t="shared" si="37"/>
        <v>36.765071739680934</v>
      </c>
      <c r="I303" s="1" t="str">
        <f t="shared" si="38"/>
        <v>Low</v>
      </c>
      <c r="J303">
        <f t="shared" si="39"/>
        <v>3.1224456538060554</v>
      </c>
      <c r="K303">
        <f t="shared" si="40"/>
        <v>35.617102355026589</v>
      </c>
      <c r="L303">
        <f t="shared" si="41"/>
        <v>3.122445653806055</v>
      </c>
    </row>
    <row r="304" spans="1:12" x14ac:dyDescent="0.25">
      <c r="A304" s="3">
        <v>41940</v>
      </c>
      <c r="B304" s="3" t="str">
        <f t="shared" si="34"/>
        <v>Oct</v>
      </c>
      <c r="C304" s="3" t="str">
        <f t="shared" si="35"/>
        <v>2014</v>
      </c>
      <c r="D304" s="3" t="str">
        <f t="shared" si="36"/>
        <v>Tuesday</v>
      </c>
      <c r="E304">
        <v>89527.556630000006</v>
      </c>
      <c r="F304">
        <v>87067.051319999999</v>
      </c>
      <c r="G304">
        <v>2435</v>
      </c>
      <c r="H304" s="1">
        <f t="shared" si="37"/>
        <v>36.766963708418892</v>
      </c>
      <c r="I304" s="1" t="str">
        <f t="shared" si="38"/>
        <v>Low</v>
      </c>
      <c r="J304">
        <f t="shared" si="39"/>
        <v>2.7483217487647944</v>
      </c>
      <c r="K304">
        <f t="shared" si="40"/>
        <v>35.756489248459957</v>
      </c>
      <c r="L304">
        <f t="shared" si="41"/>
        <v>2.748321748764794</v>
      </c>
    </row>
    <row r="305" spans="1:12" x14ac:dyDescent="0.25">
      <c r="A305" s="3">
        <v>41941</v>
      </c>
      <c r="B305" s="3" t="str">
        <f t="shared" si="34"/>
        <v>Oct</v>
      </c>
      <c r="C305" s="3" t="str">
        <f t="shared" si="35"/>
        <v>2014</v>
      </c>
      <c r="D305" s="3" t="str">
        <f t="shared" si="36"/>
        <v>Wednesday</v>
      </c>
      <c r="E305">
        <v>81991.882840000006</v>
      </c>
      <c r="F305">
        <v>80112.548009999999</v>
      </c>
      <c r="G305">
        <v>2232</v>
      </c>
      <c r="H305" s="1">
        <f t="shared" si="37"/>
        <v>36.734714534050184</v>
      </c>
      <c r="I305" s="1" t="str">
        <f t="shared" si="38"/>
        <v>Low</v>
      </c>
      <c r="J305">
        <f t="shared" si="39"/>
        <v>2.2920986381875932</v>
      </c>
      <c r="K305">
        <f t="shared" si="40"/>
        <v>35.89271864247312</v>
      </c>
      <c r="L305">
        <f t="shared" si="41"/>
        <v>2.2920986381875919</v>
      </c>
    </row>
    <row r="306" spans="1:12" x14ac:dyDescent="0.25">
      <c r="A306" s="3">
        <v>41942</v>
      </c>
      <c r="B306" s="3" t="str">
        <f t="shared" si="34"/>
        <v>Oct</v>
      </c>
      <c r="C306" s="3" t="str">
        <f t="shared" si="35"/>
        <v>2014</v>
      </c>
      <c r="D306" s="3" t="str">
        <f t="shared" si="36"/>
        <v>Thursday</v>
      </c>
      <c r="E306">
        <v>69704.491110000003</v>
      </c>
      <c r="F306">
        <v>68293.096390000006</v>
      </c>
      <c r="G306">
        <v>1898</v>
      </c>
      <c r="H306" s="1">
        <f t="shared" si="37"/>
        <v>36.725232407797684</v>
      </c>
      <c r="I306" s="1" t="str">
        <f t="shared" si="38"/>
        <v>Low</v>
      </c>
      <c r="J306">
        <f t="shared" si="39"/>
        <v>2.0248260872784911</v>
      </c>
      <c r="K306">
        <f t="shared" si="40"/>
        <v>35.981610321390939</v>
      </c>
      <c r="L306">
        <f t="shared" si="41"/>
        <v>2.0248260872784991</v>
      </c>
    </row>
    <row r="307" spans="1:12" x14ac:dyDescent="0.25">
      <c r="A307" s="3">
        <v>41943</v>
      </c>
      <c r="B307" s="3" t="str">
        <f t="shared" si="34"/>
        <v>Oct</v>
      </c>
      <c r="C307" s="3" t="str">
        <f t="shared" si="35"/>
        <v>2014</v>
      </c>
      <c r="D307" s="3" t="str">
        <f t="shared" si="36"/>
        <v>Friday</v>
      </c>
      <c r="E307">
        <v>166652.39480000001</v>
      </c>
      <c r="F307">
        <v>163319.71650000001</v>
      </c>
      <c r="G307">
        <v>4537</v>
      </c>
      <c r="H307" s="1">
        <f t="shared" si="37"/>
        <v>36.731848093453827</v>
      </c>
      <c r="I307" s="1" t="str">
        <f t="shared" si="38"/>
        <v>Low</v>
      </c>
      <c r="J307">
        <f t="shared" si="39"/>
        <v>1.999778223409004</v>
      </c>
      <c r="K307">
        <f t="shared" si="40"/>
        <v>35.997292594225264</v>
      </c>
      <c r="L307">
        <f t="shared" si="41"/>
        <v>1.9997782234089978</v>
      </c>
    </row>
    <row r="308" spans="1:12" x14ac:dyDescent="0.25">
      <c r="A308" s="3">
        <v>41944</v>
      </c>
      <c r="B308" s="3" t="str">
        <f t="shared" si="34"/>
        <v>Nov</v>
      </c>
      <c r="C308" s="3" t="str">
        <f t="shared" si="35"/>
        <v>2014</v>
      </c>
      <c r="D308" s="3" t="str">
        <f t="shared" si="36"/>
        <v>Saturday</v>
      </c>
      <c r="E308">
        <v>247453.10219999999</v>
      </c>
      <c r="F308">
        <v>242638.80119999999</v>
      </c>
      <c r="G308">
        <v>6730</v>
      </c>
      <c r="H308" s="1">
        <f t="shared" si="37"/>
        <v>36.768663031203566</v>
      </c>
      <c r="I308" s="1" t="str">
        <f t="shared" si="38"/>
        <v>Low</v>
      </c>
      <c r="J308">
        <f t="shared" si="39"/>
        <v>1.9455407740691508</v>
      </c>
      <c r="K308">
        <f t="shared" si="40"/>
        <v>36.053313699851408</v>
      </c>
      <c r="L308">
        <f t="shared" si="41"/>
        <v>1.9455407740691575</v>
      </c>
    </row>
    <row r="309" spans="1:12" x14ac:dyDescent="0.25">
      <c r="A309" s="3">
        <v>41945</v>
      </c>
      <c r="B309" s="3" t="str">
        <f t="shared" si="34"/>
        <v>Nov</v>
      </c>
      <c r="C309" s="3" t="str">
        <f t="shared" si="35"/>
        <v>2014</v>
      </c>
      <c r="D309" s="3" t="str">
        <f t="shared" si="36"/>
        <v>Sunday</v>
      </c>
      <c r="E309">
        <v>148476.18119999999</v>
      </c>
      <c r="F309">
        <v>145646.33679999999</v>
      </c>
      <c r="G309">
        <v>4038</v>
      </c>
      <c r="H309" s="1">
        <f t="shared" si="37"/>
        <v>36.769732838038628</v>
      </c>
      <c r="I309" s="1" t="str">
        <f t="shared" si="38"/>
        <v>Low</v>
      </c>
      <c r="J309">
        <f t="shared" si="39"/>
        <v>1.9059248272207057</v>
      </c>
      <c r="K309">
        <f t="shared" si="40"/>
        <v>36.068929370975731</v>
      </c>
      <c r="L309">
        <f t="shared" si="41"/>
        <v>1.9059248272206908</v>
      </c>
    </row>
    <row r="310" spans="1:12" x14ac:dyDescent="0.25">
      <c r="A310" s="3">
        <v>41946</v>
      </c>
      <c r="B310" s="3" t="str">
        <f t="shared" si="34"/>
        <v>Nov</v>
      </c>
      <c r="C310" s="3" t="str">
        <f t="shared" si="35"/>
        <v>2014</v>
      </c>
      <c r="D310" s="3" t="str">
        <f t="shared" si="36"/>
        <v>Monday</v>
      </c>
      <c r="E310">
        <v>205368.92259999999</v>
      </c>
      <c r="F310">
        <v>201281.239</v>
      </c>
      <c r="G310">
        <v>5581</v>
      </c>
      <c r="H310" s="1">
        <f t="shared" si="37"/>
        <v>36.7978718150869</v>
      </c>
      <c r="I310" s="1" t="str">
        <f t="shared" si="38"/>
        <v>Low</v>
      </c>
      <c r="J310">
        <f t="shared" si="39"/>
        <v>1.990410013476883</v>
      </c>
      <c r="K310">
        <f t="shared" si="40"/>
        <v>36.065443289733025</v>
      </c>
      <c r="L310">
        <f t="shared" si="41"/>
        <v>1.9904100134768759</v>
      </c>
    </row>
    <row r="311" spans="1:12" x14ac:dyDescent="0.25">
      <c r="A311" s="3">
        <v>41947</v>
      </c>
      <c r="B311" s="3" t="str">
        <f t="shared" si="34"/>
        <v>Nov</v>
      </c>
      <c r="C311" s="3" t="str">
        <f t="shared" si="35"/>
        <v>2014</v>
      </c>
      <c r="D311" s="3" t="str">
        <f t="shared" si="36"/>
        <v>Tuesday</v>
      </c>
      <c r="E311">
        <v>99244.681849999994</v>
      </c>
      <c r="F311">
        <v>90949.442249999993</v>
      </c>
      <c r="G311">
        <v>2519</v>
      </c>
      <c r="H311" s="1">
        <f t="shared" si="37"/>
        <v>39.398444561333861</v>
      </c>
      <c r="I311" s="1" t="str">
        <f t="shared" si="38"/>
        <v>Medium</v>
      </c>
      <c r="J311">
        <f t="shared" si="39"/>
        <v>8.3583719000052401</v>
      </c>
      <c r="K311">
        <f t="shared" si="40"/>
        <v>36.105376042080188</v>
      </c>
      <c r="L311">
        <f t="shared" si="41"/>
        <v>8.3583719000052419</v>
      </c>
    </row>
    <row r="312" spans="1:12" x14ac:dyDescent="0.25">
      <c r="A312" s="3">
        <v>41948</v>
      </c>
      <c r="B312" s="3" t="str">
        <f t="shared" si="34"/>
        <v>Nov</v>
      </c>
      <c r="C312" s="3" t="str">
        <f t="shared" si="35"/>
        <v>2014</v>
      </c>
      <c r="D312" s="3" t="str">
        <f t="shared" si="36"/>
        <v>Wednesday</v>
      </c>
      <c r="E312">
        <v>72756.863100000002</v>
      </c>
      <c r="F312">
        <v>67872.77433</v>
      </c>
      <c r="G312">
        <v>1847</v>
      </c>
      <c r="H312" s="1">
        <f t="shared" si="37"/>
        <v>39.391912885760696</v>
      </c>
      <c r="I312" s="1" t="str">
        <f t="shared" si="38"/>
        <v>Medium</v>
      </c>
      <c r="J312">
        <f t="shared" si="39"/>
        <v>6.7128908008129917</v>
      </c>
      <c r="K312">
        <f t="shared" si="40"/>
        <v>36.747576789388198</v>
      </c>
      <c r="L312">
        <f t="shared" si="41"/>
        <v>6.7128908008129944</v>
      </c>
    </row>
    <row r="313" spans="1:12" x14ac:dyDescent="0.25">
      <c r="A313" s="3">
        <v>41949</v>
      </c>
      <c r="B313" s="3" t="str">
        <f t="shared" si="34"/>
        <v>Nov</v>
      </c>
      <c r="C313" s="3" t="str">
        <f t="shared" si="35"/>
        <v>2014</v>
      </c>
      <c r="D313" s="3" t="str">
        <f t="shared" si="36"/>
        <v>Thursday</v>
      </c>
      <c r="E313">
        <v>86867.458079999997</v>
      </c>
      <c r="F313">
        <v>84486.086089999997</v>
      </c>
      <c r="G313">
        <v>2309</v>
      </c>
      <c r="H313" s="1">
        <f t="shared" si="37"/>
        <v>37.621246461671717</v>
      </c>
      <c r="I313" s="1" t="str">
        <f t="shared" si="38"/>
        <v>Low</v>
      </c>
      <c r="J313">
        <f t="shared" si="39"/>
        <v>2.7413856035788351</v>
      </c>
      <c r="K313">
        <f t="shared" si="40"/>
        <v>36.589903027284535</v>
      </c>
      <c r="L313">
        <f t="shared" si="41"/>
        <v>2.7413856035788395</v>
      </c>
    </row>
    <row r="314" spans="1:12" x14ac:dyDescent="0.25">
      <c r="A314" s="3">
        <v>41950</v>
      </c>
      <c r="B314" s="3" t="str">
        <f t="shared" si="34"/>
        <v>Nov</v>
      </c>
      <c r="C314" s="3" t="str">
        <f t="shared" si="35"/>
        <v>2014</v>
      </c>
      <c r="D314" s="3" t="str">
        <f t="shared" si="36"/>
        <v>Friday</v>
      </c>
      <c r="E314">
        <v>140167.8039</v>
      </c>
      <c r="F314">
        <v>136539.20329999999</v>
      </c>
      <c r="G314">
        <v>3722</v>
      </c>
      <c r="H314" s="1">
        <f t="shared" si="37"/>
        <v>37.659270257925847</v>
      </c>
      <c r="I314" s="1" t="str">
        <f t="shared" si="38"/>
        <v>Low</v>
      </c>
      <c r="J314">
        <f t="shared" si="39"/>
        <v>2.5887546919039695</v>
      </c>
      <c r="K314">
        <f t="shared" si="40"/>
        <v>36.684364132186992</v>
      </c>
      <c r="L314">
        <f t="shared" si="41"/>
        <v>2.5887546919039779</v>
      </c>
    </row>
    <row r="315" spans="1:12" x14ac:dyDescent="0.25">
      <c r="A315" s="3">
        <v>41951</v>
      </c>
      <c r="B315" s="3" t="str">
        <f t="shared" si="34"/>
        <v>Nov</v>
      </c>
      <c r="C315" s="3" t="str">
        <f t="shared" si="35"/>
        <v>2014</v>
      </c>
      <c r="D315" s="3" t="str">
        <f t="shared" si="36"/>
        <v>Saturday</v>
      </c>
      <c r="E315">
        <v>160727.3028</v>
      </c>
      <c r="F315">
        <v>156700.82500000001</v>
      </c>
      <c r="G315">
        <v>4268</v>
      </c>
      <c r="H315" s="1">
        <f t="shared" si="37"/>
        <v>37.658693252108719</v>
      </c>
      <c r="I315" s="1" t="str">
        <f t="shared" si="38"/>
        <v>Low</v>
      </c>
      <c r="J315">
        <f t="shared" si="39"/>
        <v>2.5051610584234809</v>
      </c>
      <c r="K315">
        <f t="shared" si="40"/>
        <v>36.715282333645739</v>
      </c>
      <c r="L315">
        <f t="shared" si="41"/>
        <v>2.5051610584234854</v>
      </c>
    </row>
    <row r="316" spans="1:12" x14ac:dyDescent="0.25">
      <c r="A316" s="3">
        <v>41952</v>
      </c>
      <c r="B316" s="3" t="str">
        <f t="shared" si="34"/>
        <v>Nov</v>
      </c>
      <c r="C316" s="3" t="str">
        <f t="shared" si="35"/>
        <v>2014</v>
      </c>
      <c r="D316" s="3" t="str">
        <f t="shared" si="36"/>
        <v>Sunday</v>
      </c>
      <c r="E316">
        <v>74115.628779999999</v>
      </c>
      <c r="F316">
        <v>71994.346390000006</v>
      </c>
      <c r="G316">
        <v>1968</v>
      </c>
      <c r="H316" s="1">
        <f t="shared" si="37"/>
        <v>37.660380477642278</v>
      </c>
      <c r="I316" s="1" t="str">
        <f t="shared" si="38"/>
        <v>Low</v>
      </c>
      <c r="J316">
        <f t="shared" si="39"/>
        <v>2.8621256068631209</v>
      </c>
      <c r="K316">
        <f t="shared" si="40"/>
        <v>36.582493084349593</v>
      </c>
      <c r="L316">
        <f t="shared" si="41"/>
        <v>2.8621256068631338</v>
      </c>
    </row>
    <row r="317" spans="1:12" x14ac:dyDescent="0.25">
      <c r="A317" s="3">
        <v>41953</v>
      </c>
      <c r="B317" s="3" t="str">
        <f t="shared" si="34"/>
        <v>Nov</v>
      </c>
      <c r="C317" s="3" t="str">
        <f t="shared" si="35"/>
        <v>2014</v>
      </c>
      <c r="D317" s="3" t="str">
        <f t="shared" si="36"/>
        <v>Monday</v>
      </c>
      <c r="E317">
        <v>76103.291519999999</v>
      </c>
      <c r="F317">
        <v>73967.605689999997</v>
      </c>
      <c r="G317">
        <v>2016</v>
      </c>
      <c r="H317" s="1">
        <f t="shared" si="37"/>
        <v>37.749648571428573</v>
      </c>
      <c r="I317" s="1" t="str">
        <f t="shared" si="38"/>
        <v>Medium</v>
      </c>
      <c r="J317">
        <f t="shared" si="39"/>
        <v>2.8062988963345199</v>
      </c>
      <c r="K317">
        <f t="shared" si="40"/>
        <v>36.690280600198413</v>
      </c>
      <c r="L317">
        <f t="shared" si="41"/>
        <v>2.8062988963345186</v>
      </c>
    </row>
    <row r="318" spans="1:12" x14ac:dyDescent="0.25">
      <c r="A318" s="3">
        <v>41954</v>
      </c>
      <c r="B318" s="3" t="str">
        <f t="shared" si="34"/>
        <v>Nov</v>
      </c>
      <c r="C318" s="3" t="str">
        <f t="shared" si="35"/>
        <v>2014</v>
      </c>
      <c r="D318" s="3" t="str">
        <f t="shared" si="36"/>
        <v>Tuesday</v>
      </c>
      <c r="E318">
        <v>56303.366569999998</v>
      </c>
      <c r="F318">
        <v>54996.866609999997</v>
      </c>
      <c r="G318">
        <v>1497</v>
      </c>
      <c r="H318" s="1">
        <f t="shared" si="37"/>
        <v>37.610799311957244</v>
      </c>
      <c r="I318" s="1" t="str">
        <f t="shared" si="38"/>
        <v>Low</v>
      </c>
      <c r="J318">
        <f t="shared" si="39"/>
        <v>2.3204650797846615</v>
      </c>
      <c r="K318">
        <f t="shared" si="40"/>
        <v>36.73805384769539</v>
      </c>
      <c r="L318">
        <f t="shared" si="41"/>
        <v>2.3204650797846518</v>
      </c>
    </row>
    <row r="319" spans="1:12" x14ac:dyDescent="0.25">
      <c r="A319" s="3">
        <v>41955</v>
      </c>
      <c r="B319" s="3" t="str">
        <f t="shared" si="34"/>
        <v>Nov</v>
      </c>
      <c r="C319" s="3" t="str">
        <f t="shared" si="35"/>
        <v>2014</v>
      </c>
      <c r="D319" s="3" t="str">
        <f t="shared" si="36"/>
        <v>Wednesday</v>
      </c>
      <c r="E319">
        <v>49436.815860000002</v>
      </c>
      <c r="F319">
        <v>48289.89228</v>
      </c>
      <c r="G319">
        <v>1314</v>
      </c>
      <c r="H319" s="1">
        <f t="shared" si="37"/>
        <v>37.623147534246577</v>
      </c>
      <c r="I319" s="1" t="str">
        <f t="shared" si="38"/>
        <v>Low</v>
      </c>
      <c r="J319">
        <f t="shared" si="39"/>
        <v>2.3199786637714945</v>
      </c>
      <c r="K319">
        <f t="shared" si="40"/>
        <v>36.750298538812785</v>
      </c>
      <c r="L319">
        <f t="shared" si="41"/>
        <v>2.3199786637714945</v>
      </c>
    </row>
    <row r="320" spans="1:12" x14ac:dyDescent="0.25">
      <c r="A320" s="3">
        <v>41956</v>
      </c>
      <c r="B320" s="3" t="str">
        <f t="shared" si="34"/>
        <v>Nov</v>
      </c>
      <c r="C320" s="3" t="str">
        <f t="shared" si="35"/>
        <v>2014</v>
      </c>
      <c r="D320" s="3" t="str">
        <f t="shared" si="36"/>
        <v>Thursday</v>
      </c>
      <c r="E320">
        <v>55033.1224</v>
      </c>
      <c r="F320">
        <v>53997.218869999997</v>
      </c>
      <c r="G320">
        <v>1466</v>
      </c>
      <c r="H320" s="1">
        <f t="shared" si="37"/>
        <v>37.539646930422919</v>
      </c>
      <c r="I320" s="1" t="str">
        <f t="shared" si="38"/>
        <v>Low</v>
      </c>
      <c r="J320">
        <f t="shared" si="39"/>
        <v>1.8823273781754444</v>
      </c>
      <c r="K320">
        <f t="shared" si="40"/>
        <v>36.83302787858117</v>
      </c>
      <c r="L320">
        <f t="shared" si="41"/>
        <v>1.8823273781754448</v>
      </c>
    </row>
    <row r="321" spans="1:12" x14ac:dyDescent="0.25">
      <c r="A321" s="3">
        <v>41957</v>
      </c>
      <c r="B321" s="3" t="str">
        <f t="shared" si="34"/>
        <v>Nov</v>
      </c>
      <c r="C321" s="3" t="str">
        <f t="shared" si="35"/>
        <v>2014</v>
      </c>
      <c r="D321" s="3" t="str">
        <f t="shared" si="36"/>
        <v>Friday</v>
      </c>
      <c r="E321">
        <v>149808.16589999999</v>
      </c>
      <c r="F321">
        <v>146994.89550000001</v>
      </c>
      <c r="G321">
        <v>3984</v>
      </c>
      <c r="H321" s="1">
        <f t="shared" si="37"/>
        <v>37.602451280120484</v>
      </c>
      <c r="I321" s="1" t="str">
        <f t="shared" si="38"/>
        <v>Low</v>
      </c>
      <c r="J321">
        <f t="shared" si="39"/>
        <v>1.8779152545515407</v>
      </c>
      <c r="K321">
        <f t="shared" si="40"/>
        <v>36.896309111445788</v>
      </c>
      <c r="L321">
        <f t="shared" si="41"/>
        <v>1.8779152545515452</v>
      </c>
    </row>
    <row r="322" spans="1:12" x14ac:dyDescent="0.25">
      <c r="A322" s="3">
        <v>41958</v>
      </c>
      <c r="B322" s="3" t="str">
        <f t="shared" si="34"/>
        <v>Nov</v>
      </c>
      <c r="C322" s="3" t="str">
        <f t="shared" si="35"/>
        <v>2014</v>
      </c>
      <c r="D322" s="3" t="str">
        <f t="shared" si="36"/>
        <v>Saturday</v>
      </c>
      <c r="E322">
        <v>180685.51070000001</v>
      </c>
      <c r="F322">
        <v>176898.27780000001</v>
      </c>
      <c r="G322">
        <v>4802</v>
      </c>
      <c r="H322" s="1">
        <f t="shared" si="37"/>
        <v>37.627136755518535</v>
      </c>
      <c r="I322" s="1" t="str">
        <f t="shared" si="38"/>
        <v>Low</v>
      </c>
      <c r="J322">
        <f t="shared" si="39"/>
        <v>2.0960357503641283</v>
      </c>
      <c r="K322">
        <f t="shared" si="40"/>
        <v>36.838458517284465</v>
      </c>
      <c r="L322">
        <f t="shared" si="41"/>
        <v>2.0960357503641287</v>
      </c>
    </row>
    <row r="323" spans="1:12" x14ac:dyDescent="0.25">
      <c r="A323" s="3">
        <v>41959</v>
      </c>
      <c r="B323" s="3" t="str">
        <f t="shared" ref="B323:B386" si="42">TEXT(A323,"mmm")</f>
        <v>Nov</v>
      </c>
      <c r="C323" s="3" t="str">
        <f t="shared" ref="C323:C386" si="43">TEXT(A323,"yyyy")</f>
        <v>2014</v>
      </c>
      <c r="D323" s="3" t="str">
        <f t="shared" ref="D323:D386" si="44">TEXT(A323,"dddd")</f>
        <v>Sunday</v>
      </c>
      <c r="E323">
        <v>75871.43677</v>
      </c>
      <c r="F323">
        <v>73905.810159999994</v>
      </c>
      <c r="G323">
        <v>2017</v>
      </c>
      <c r="H323" s="1">
        <f t="shared" ref="H323:H386" si="45">E323/G323</f>
        <v>37.615982533465541</v>
      </c>
      <c r="I323" s="1" t="str">
        <f t="shared" ref="I323:I386" si="46">IF(H323&lt;PERCENTILE(H323:H1375,0.33),"Low", IF(H323&gt;PERCENTILE(H323:H1375,0.67),"High","Medium"))</f>
        <v>Low</v>
      </c>
      <c r="J323">
        <f t="shared" ref="J323:J386" si="47">(E323-F323)/E323 *100</f>
        <v>2.5907333427185426</v>
      </c>
      <c r="K323">
        <f t="shared" ref="K323:K386" si="48">F323/G323</f>
        <v>36.641452731779864</v>
      </c>
      <c r="L323">
        <f t="shared" ref="L323:L386" si="49">(H323-K323)/H323 *100</f>
        <v>2.590733342718547</v>
      </c>
    </row>
    <row r="324" spans="1:12" x14ac:dyDescent="0.25">
      <c r="A324" s="3">
        <v>41960</v>
      </c>
      <c r="B324" s="3" t="str">
        <f t="shared" si="42"/>
        <v>Nov</v>
      </c>
      <c r="C324" s="3" t="str">
        <f t="shared" si="43"/>
        <v>2014</v>
      </c>
      <c r="D324" s="3" t="str">
        <f t="shared" si="44"/>
        <v>Monday</v>
      </c>
      <c r="E324">
        <v>86313.334080000001</v>
      </c>
      <c r="F324">
        <v>84418.789109999998</v>
      </c>
      <c r="G324">
        <v>2297</v>
      </c>
      <c r="H324" s="1">
        <f t="shared" si="45"/>
        <v>37.576549447104917</v>
      </c>
      <c r="I324" s="1" t="str">
        <f t="shared" si="46"/>
        <v>Low</v>
      </c>
      <c r="J324">
        <f t="shared" si="47"/>
        <v>2.1949620996496706</v>
      </c>
      <c r="K324">
        <f t="shared" si="48"/>
        <v>36.751758428384846</v>
      </c>
      <c r="L324">
        <f t="shared" si="49"/>
        <v>2.1949620996496688</v>
      </c>
    </row>
    <row r="325" spans="1:12" x14ac:dyDescent="0.25">
      <c r="A325" s="3">
        <v>41961</v>
      </c>
      <c r="B325" s="3" t="str">
        <f t="shared" si="42"/>
        <v>Nov</v>
      </c>
      <c r="C325" s="3" t="str">
        <f t="shared" si="43"/>
        <v>2014</v>
      </c>
      <c r="D325" s="3" t="str">
        <f t="shared" si="44"/>
        <v>Tuesday</v>
      </c>
      <c r="E325">
        <v>62631.798750000002</v>
      </c>
      <c r="F325">
        <v>61158.361089999999</v>
      </c>
      <c r="G325">
        <v>1665</v>
      </c>
      <c r="H325" s="1">
        <f t="shared" si="45"/>
        <v>37.616695945945949</v>
      </c>
      <c r="I325" s="1" t="str">
        <f t="shared" si="46"/>
        <v>Low</v>
      </c>
      <c r="J325">
        <f t="shared" si="47"/>
        <v>2.3525392682419217</v>
      </c>
      <c r="K325">
        <f t="shared" si="48"/>
        <v>36.731748402402403</v>
      </c>
      <c r="L325">
        <f t="shared" si="49"/>
        <v>2.3525392682419244</v>
      </c>
    </row>
    <row r="326" spans="1:12" x14ac:dyDescent="0.25">
      <c r="A326" s="3">
        <v>41962</v>
      </c>
      <c r="B326" s="3" t="str">
        <f t="shared" si="42"/>
        <v>Nov</v>
      </c>
      <c r="C326" s="3" t="str">
        <f t="shared" si="43"/>
        <v>2014</v>
      </c>
      <c r="D326" s="3" t="str">
        <f t="shared" si="44"/>
        <v>Wednesday</v>
      </c>
      <c r="E326">
        <v>48529.103360000001</v>
      </c>
      <c r="F326">
        <v>47409.554060000002</v>
      </c>
      <c r="G326">
        <v>1291</v>
      </c>
      <c r="H326" s="1">
        <f t="shared" si="45"/>
        <v>37.590320185902399</v>
      </c>
      <c r="I326" s="1" t="str">
        <f t="shared" si="46"/>
        <v>Low</v>
      </c>
      <c r="J326">
        <f t="shared" si="47"/>
        <v>2.306964733502133</v>
      </c>
      <c r="K326">
        <f t="shared" si="48"/>
        <v>36.723124756003102</v>
      </c>
      <c r="L326">
        <f t="shared" si="49"/>
        <v>2.3069647335021206</v>
      </c>
    </row>
    <row r="327" spans="1:12" x14ac:dyDescent="0.25">
      <c r="A327" s="3">
        <v>41963</v>
      </c>
      <c r="B327" s="3" t="str">
        <f t="shared" si="42"/>
        <v>Nov</v>
      </c>
      <c r="C327" s="3" t="str">
        <f t="shared" si="43"/>
        <v>2014</v>
      </c>
      <c r="D327" s="3" t="str">
        <f t="shared" si="44"/>
        <v>Thursday</v>
      </c>
      <c r="E327">
        <v>51040.881370000003</v>
      </c>
      <c r="F327">
        <v>50038.142630000002</v>
      </c>
      <c r="G327">
        <v>1361</v>
      </c>
      <c r="H327" s="1">
        <f t="shared" si="45"/>
        <v>37.502484474650991</v>
      </c>
      <c r="I327" s="1" t="str">
        <f t="shared" si="46"/>
        <v>Low</v>
      </c>
      <c r="J327">
        <f t="shared" si="47"/>
        <v>1.9645795940141708</v>
      </c>
      <c r="K327">
        <f t="shared" si="48"/>
        <v>36.765718317413665</v>
      </c>
      <c r="L327">
        <f t="shared" si="49"/>
        <v>1.9645795940141726</v>
      </c>
    </row>
    <row r="328" spans="1:12" x14ac:dyDescent="0.25">
      <c r="A328" s="3">
        <v>41964</v>
      </c>
      <c r="B328" s="3" t="str">
        <f t="shared" si="42"/>
        <v>Nov</v>
      </c>
      <c r="C328" s="3" t="str">
        <f t="shared" si="43"/>
        <v>2014</v>
      </c>
      <c r="D328" s="3" t="str">
        <f t="shared" si="44"/>
        <v>Friday</v>
      </c>
      <c r="E328">
        <v>53973.92224</v>
      </c>
      <c r="F328">
        <v>47192.49828</v>
      </c>
      <c r="G328">
        <v>1281</v>
      </c>
      <c r="H328" s="1">
        <f t="shared" si="45"/>
        <v>42.134209398907103</v>
      </c>
      <c r="I328" s="1" t="str">
        <f t="shared" si="46"/>
        <v>High</v>
      </c>
      <c r="J328">
        <f t="shared" si="47"/>
        <v>12.564260069605051</v>
      </c>
      <c r="K328">
        <f t="shared" si="48"/>
        <v>36.840357751756443</v>
      </c>
      <c r="L328">
        <f t="shared" si="49"/>
        <v>12.564260069605043</v>
      </c>
    </row>
    <row r="329" spans="1:12" x14ac:dyDescent="0.25">
      <c r="A329" s="3">
        <v>41965</v>
      </c>
      <c r="B329" s="3" t="str">
        <f t="shared" si="42"/>
        <v>Nov</v>
      </c>
      <c r="C329" s="3" t="str">
        <f t="shared" si="43"/>
        <v>2014</v>
      </c>
      <c r="D329" s="3" t="str">
        <f t="shared" si="44"/>
        <v>Saturday</v>
      </c>
      <c r="E329">
        <v>47497.982530000001</v>
      </c>
      <c r="F329">
        <v>41179.088250000001</v>
      </c>
      <c r="G329">
        <v>1122</v>
      </c>
      <c r="H329" s="1">
        <f t="shared" si="45"/>
        <v>42.33331776292335</v>
      </c>
      <c r="I329" s="1" t="str">
        <f t="shared" si="46"/>
        <v>High</v>
      </c>
      <c r="J329">
        <f t="shared" si="47"/>
        <v>13.303500366587045</v>
      </c>
      <c r="K329">
        <f t="shared" si="48"/>
        <v>36.701504679144385</v>
      </c>
      <c r="L329">
        <f t="shared" si="49"/>
        <v>13.303500366587043</v>
      </c>
    </row>
    <row r="330" spans="1:12" x14ac:dyDescent="0.25">
      <c r="A330" s="3">
        <v>41966</v>
      </c>
      <c r="B330" s="3" t="str">
        <f t="shared" si="42"/>
        <v>Nov</v>
      </c>
      <c r="C330" s="3" t="str">
        <f t="shared" si="43"/>
        <v>2014</v>
      </c>
      <c r="D330" s="3" t="str">
        <f t="shared" si="44"/>
        <v>Sunday</v>
      </c>
      <c r="E330">
        <v>31219.951529999998</v>
      </c>
      <c r="F330">
        <v>26893.304680000001</v>
      </c>
      <c r="G330">
        <v>737</v>
      </c>
      <c r="H330" s="1">
        <f t="shared" si="45"/>
        <v>42.360856892808684</v>
      </c>
      <c r="I330" s="1" t="str">
        <f t="shared" si="46"/>
        <v>High</v>
      </c>
      <c r="J330">
        <f t="shared" si="47"/>
        <v>13.858595667076608</v>
      </c>
      <c r="K330">
        <f t="shared" si="48"/>
        <v>36.490237014925377</v>
      </c>
      <c r="L330">
        <f t="shared" si="49"/>
        <v>13.858595667076608</v>
      </c>
    </row>
    <row r="331" spans="1:12" x14ac:dyDescent="0.25">
      <c r="A331" s="3">
        <v>41967</v>
      </c>
      <c r="B331" s="3" t="str">
        <f t="shared" si="42"/>
        <v>Nov</v>
      </c>
      <c r="C331" s="3" t="str">
        <f t="shared" si="43"/>
        <v>2014</v>
      </c>
      <c r="D331" s="3" t="str">
        <f t="shared" si="44"/>
        <v>Monday</v>
      </c>
      <c r="E331">
        <v>26870.32387</v>
      </c>
      <c r="F331">
        <v>23516.041720000001</v>
      </c>
      <c r="G331">
        <v>641</v>
      </c>
      <c r="H331" s="1">
        <f t="shared" si="45"/>
        <v>41.919382012480497</v>
      </c>
      <c r="I331" s="1" t="str">
        <f t="shared" si="46"/>
        <v>High</v>
      </c>
      <c r="J331">
        <f t="shared" si="47"/>
        <v>12.483221885334125</v>
      </c>
      <c r="K331">
        <f t="shared" si="48"/>
        <v>36.686492542901718</v>
      </c>
      <c r="L331">
        <f t="shared" si="49"/>
        <v>12.483221885334119</v>
      </c>
    </row>
    <row r="332" spans="1:12" x14ac:dyDescent="0.25">
      <c r="A332" s="3">
        <v>41968</v>
      </c>
      <c r="B332" s="3" t="str">
        <f t="shared" si="42"/>
        <v>Nov</v>
      </c>
      <c r="C332" s="3" t="str">
        <f t="shared" si="43"/>
        <v>2014</v>
      </c>
      <c r="D332" s="3" t="str">
        <f t="shared" si="44"/>
        <v>Tuesday</v>
      </c>
      <c r="E332">
        <v>40530.642290000003</v>
      </c>
      <c r="F332">
        <v>35674.190759999998</v>
      </c>
      <c r="G332">
        <v>968</v>
      </c>
      <c r="H332" s="1">
        <f t="shared" si="45"/>
        <v>41.870498233471075</v>
      </c>
      <c r="I332" s="1" t="str">
        <f t="shared" si="46"/>
        <v>High</v>
      </c>
      <c r="J332">
        <f t="shared" si="47"/>
        <v>11.982172636820568</v>
      </c>
      <c r="K332">
        <f t="shared" si="48"/>
        <v>36.853502851239668</v>
      </c>
      <c r="L332">
        <f t="shared" si="49"/>
        <v>11.982172636820559</v>
      </c>
    </row>
    <row r="333" spans="1:12" x14ac:dyDescent="0.25">
      <c r="A333" s="3">
        <v>41969</v>
      </c>
      <c r="B333" s="3" t="str">
        <f t="shared" si="42"/>
        <v>Nov</v>
      </c>
      <c r="C333" s="3" t="str">
        <f t="shared" si="43"/>
        <v>2014</v>
      </c>
      <c r="D333" s="3" t="str">
        <f t="shared" si="44"/>
        <v>Wednesday</v>
      </c>
      <c r="E333">
        <v>30371.431339999999</v>
      </c>
      <c r="F333">
        <v>26054.849170000001</v>
      </c>
      <c r="G333">
        <v>709</v>
      </c>
      <c r="H333" s="1">
        <f t="shared" si="45"/>
        <v>42.836997658674186</v>
      </c>
      <c r="I333" s="1" t="str">
        <f t="shared" si="46"/>
        <v>High</v>
      </c>
      <c r="J333">
        <f t="shared" si="47"/>
        <v>14.21263990385248</v>
      </c>
      <c r="K333">
        <f t="shared" si="48"/>
        <v>36.748729435825105</v>
      </c>
      <c r="L333">
        <f t="shared" si="49"/>
        <v>14.21263990385248</v>
      </c>
    </row>
    <row r="334" spans="1:12" x14ac:dyDescent="0.25">
      <c r="A334" s="3">
        <v>41970</v>
      </c>
      <c r="B334" s="3" t="str">
        <f t="shared" si="42"/>
        <v>Nov</v>
      </c>
      <c r="C334" s="3" t="str">
        <f t="shared" si="43"/>
        <v>2014</v>
      </c>
      <c r="D334" s="3" t="str">
        <f t="shared" si="44"/>
        <v>Thursday</v>
      </c>
      <c r="E334">
        <v>37776.658770000002</v>
      </c>
      <c r="F334">
        <v>32719.689640000001</v>
      </c>
      <c r="G334">
        <v>880</v>
      </c>
      <c r="H334" s="1">
        <f t="shared" si="45"/>
        <v>42.928021329545459</v>
      </c>
      <c r="I334" s="1" t="str">
        <f t="shared" si="46"/>
        <v>High</v>
      </c>
      <c r="J334">
        <f t="shared" si="47"/>
        <v>13.386491274384351</v>
      </c>
      <c r="K334">
        <f t="shared" si="48"/>
        <v>37.181465500000002</v>
      </c>
      <c r="L334">
        <f t="shared" si="49"/>
        <v>13.386491274384355</v>
      </c>
    </row>
    <row r="335" spans="1:12" x14ac:dyDescent="0.25">
      <c r="A335" s="3">
        <v>41971</v>
      </c>
      <c r="B335" s="3" t="str">
        <f t="shared" si="42"/>
        <v>Nov</v>
      </c>
      <c r="C335" s="3" t="str">
        <f t="shared" si="43"/>
        <v>2014</v>
      </c>
      <c r="D335" s="3" t="str">
        <f t="shared" si="44"/>
        <v>Friday</v>
      </c>
      <c r="E335">
        <v>46818.205320000001</v>
      </c>
      <c r="F335">
        <v>40652.576410000001</v>
      </c>
      <c r="G335">
        <v>1096</v>
      </c>
      <c r="H335" s="1">
        <f t="shared" si="45"/>
        <v>42.717340620437959</v>
      </c>
      <c r="I335" s="1" t="str">
        <f t="shared" si="46"/>
        <v>High</v>
      </c>
      <c r="J335">
        <f t="shared" si="47"/>
        <v>13.169297857229353</v>
      </c>
      <c r="K335">
        <f t="shared" si="48"/>
        <v>37.09176679744526</v>
      </c>
      <c r="L335">
        <f t="shared" si="49"/>
        <v>13.169297857229351</v>
      </c>
    </row>
    <row r="336" spans="1:12" x14ac:dyDescent="0.25">
      <c r="A336" s="3">
        <v>41972</v>
      </c>
      <c r="B336" s="3" t="str">
        <f t="shared" si="42"/>
        <v>Nov</v>
      </c>
      <c r="C336" s="3" t="str">
        <f t="shared" si="43"/>
        <v>2014</v>
      </c>
      <c r="D336" s="3" t="str">
        <f t="shared" si="44"/>
        <v>Saturday</v>
      </c>
      <c r="E336">
        <v>88321.625549999997</v>
      </c>
      <c r="F336">
        <v>79880.24368</v>
      </c>
      <c r="G336">
        <v>2068</v>
      </c>
      <c r="H336" s="1">
        <f t="shared" si="45"/>
        <v>42.708716416827855</v>
      </c>
      <c r="I336" s="1" t="str">
        <f t="shared" si="46"/>
        <v>High</v>
      </c>
      <c r="J336">
        <f t="shared" si="47"/>
        <v>9.5575481287096817</v>
      </c>
      <c r="K336">
        <f t="shared" si="48"/>
        <v>38.626810290135396</v>
      </c>
      <c r="L336">
        <f t="shared" si="49"/>
        <v>9.5575481287096906</v>
      </c>
    </row>
    <row r="337" spans="1:12" x14ac:dyDescent="0.25">
      <c r="A337" s="3">
        <v>41973</v>
      </c>
      <c r="B337" s="3" t="str">
        <f t="shared" si="42"/>
        <v>Nov</v>
      </c>
      <c r="C337" s="3" t="str">
        <f t="shared" si="43"/>
        <v>2014</v>
      </c>
      <c r="D337" s="3" t="str">
        <f t="shared" si="44"/>
        <v>Sunday</v>
      </c>
      <c r="E337">
        <v>101037.8278</v>
      </c>
      <c r="F337">
        <v>93177.884699999995</v>
      </c>
      <c r="G337">
        <v>2375</v>
      </c>
      <c r="H337" s="1">
        <f t="shared" si="45"/>
        <v>42.542243284210528</v>
      </c>
      <c r="I337" s="1" t="str">
        <f t="shared" si="46"/>
        <v>High</v>
      </c>
      <c r="J337">
        <f t="shared" si="47"/>
        <v>7.7792083135025631</v>
      </c>
      <c r="K337">
        <f t="shared" si="48"/>
        <v>39.232793557894738</v>
      </c>
      <c r="L337">
        <f t="shared" si="49"/>
        <v>7.7792083135025614</v>
      </c>
    </row>
    <row r="338" spans="1:12" x14ac:dyDescent="0.25">
      <c r="A338" s="3">
        <v>41974</v>
      </c>
      <c r="B338" s="3" t="str">
        <f t="shared" si="42"/>
        <v>Dec</v>
      </c>
      <c r="C338" s="3" t="str">
        <f t="shared" si="43"/>
        <v>2014</v>
      </c>
      <c r="D338" s="3" t="str">
        <f t="shared" si="44"/>
        <v>Monday</v>
      </c>
      <c r="E338">
        <v>105100.6676</v>
      </c>
      <c r="F338">
        <v>97257.394669999994</v>
      </c>
      <c r="G338">
        <v>2492</v>
      </c>
      <c r="H338" s="1">
        <f t="shared" si="45"/>
        <v>42.175227768860353</v>
      </c>
      <c r="I338" s="1" t="str">
        <f t="shared" si="46"/>
        <v>High</v>
      </c>
      <c r="J338">
        <f t="shared" si="47"/>
        <v>7.4626290290091424</v>
      </c>
      <c r="K338">
        <f t="shared" si="48"/>
        <v>39.027846978330658</v>
      </c>
      <c r="L338">
        <f t="shared" si="49"/>
        <v>7.4626290290091362</v>
      </c>
    </row>
    <row r="339" spans="1:12" x14ac:dyDescent="0.25">
      <c r="A339" s="3">
        <v>41975</v>
      </c>
      <c r="B339" s="3" t="str">
        <f t="shared" si="42"/>
        <v>Dec</v>
      </c>
      <c r="C339" s="3" t="str">
        <f t="shared" si="43"/>
        <v>2014</v>
      </c>
      <c r="D339" s="3" t="str">
        <f t="shared" si="44"/>
        <v>Tuesday</v>
      </c>
      <c r="E339">
        <v>88219.52549</v>
      </c>
      <c r="F339">
        <v>85533.428920000006</v>
      </c>
      <c r="G339">
        <v>2170</v>
      </c>
      <c r="H339" s="1">
        <f t="shared" si="45"/>
        <v>40.654159211981565</v>
      </c>
      <c r="I339" s="1" t="str">
        <f t="shared" si="46"/>
        <v>High</v>
      </c>
      <c r="J339">
        <f t="shared" si="47"/>
        <v>3.0447869165930541</v>
      </c>
      <c r="K339">
        <f t="shared" si="48"/>
        <v>39.416326691244244</v>
      </c>
      <c r="L339">
        <f t="shared" si="49"/>
        <v>3.0447869165930448</v>
      </c>
    </row>
    <row r="340" spans="1:12" x14ac:dyDescent="0.25">
      <c r="A340" s="3">
        <v>41976</v>
      </c>
      <c r="B340" s="3" t="str">
        <f t="shared" si="42"/>
        <v>Dec</v>
      </c>
      <c r="C340" s="3" t="str">
        <f t="shared" si="43"/>
        <v>2014</v>
      </c>
      <c r="D340" s="3" t="str">
        <f t="shared" si="44"/>
        <v>Wednesday</v>
      </c>
      <c r="E340">
        <v>71590.369290000002</v>
      </c>
      <c r="F340">
        <v>69654.930309999996</v>
      </c>
      <c r="G340">
        <v>1784</v>
      </c>
      <c r="H340" s="1">
        <f t="shared" si="45"/>
        <v>40.12913076793722</v>
      </c>
      <c r="I340" s="1" t="str">
        <f t="shared" si="46"/>
        <v>Medium</v>
      </c>
      <c r="J340">
        <f t="shared" si="47"/>
        <v>2.7034907057957516</v>
      </c>
      <c r="K340">
        <f t="shared" si="48"/>
        <v>39.044243447309412</v>
      </c>
      <c r="L340">
        <f t="shared" si="49"/>
        <v>2.7034907057957542</v>
      </c>
    </row>
    <row r="341" spans="1:12" x14ac:dyDescent="0.25">
      <c r="A341" s="3">
        <v>41977</v>
      </c>
      <c r="B341" s="3" t="str">
        <f t="shared" si="42"/>
        <v>Dec</v>
      </c>
      <c r="C341" s="3" t="str">
        <f t="shared" si="43"/>
        <v>2014</v>
      </c>
      <c r="D341" s="3" t="str">
        <f t="shared" si="44"/>
        <v>Thursday</v>
      </c>
      <c r="E341">
        <v>54996.62169</v>
      </c>
      <c r="F341">
        <v>54503.028550000003</v>
      </c>
      <c r="G341">
        <v>1368</v>
      </c>
      <c r="H341" s="1">
        <f t="shared" si="45"/>
        <v>40.202208837719297</v>
      </c>
      <c r="I341" s="1" t="str">
        <f t="shared" si="46"/>
        <v>Medium</v>
      </c>
      <c r="J341">
        <f t="shared" si="47"/>
        <v>0.89749720043212566</v>
      </c>
      <c r="K341">
        <f t="shared" si="48"/>
        <v>39.841395138888892</v>
      </c>
      <c r="L341">
        <f t="shared" si="49"/>
        <v>0.897497200432121</v>
      </c>
    </row>
    <row r="342" spans="1:12" x14ac:dyDescent="0.25">
      <c r="A342" s="3">
        <v>41978</v>
      </c>
      <c r="B342" s="3" t="str">
        <f t="shared" si="42"/>
        <v>Dec</v>
      </c>
      <c r="C342" s="3" t="str">
        <f t="shared" si="43"/>
        <v>2014</v>
      </c>
      <c r="D342" s="3" t="str">
        <f t="shared" si="44"/>
        <v>Friday</v>
      </c>
      <c r="E342">
        <v>77884.18161</v>
      </c>
      <c r="F342">
        <v>77619.294890000005</v>
      </c>
      <c r="G342">
        <v>1914</v>
      </c>
      <c r="H342" s="1">
        <f t="shared" si="45"/>
        <v>40.691839921630091</v>
      </c>
      <c r="I342" s="1" t="str">
        <f t="shared" si="46"/>
        <v>High</v>
      </c>
      <c r="J342">
        <f t="shared" si="47"/>
        <v>0.34010336184361295</v>
      </c>
      <c r="K342">
        <f t="shared" si="48"/>
        <v>40.553445606060606</v>
      </c>
      <c r="L342">
        <f t="shared" si="49"/>
        <v>0.3401033618436124</v>
      </c>
    </row>
    <row r="343" spans="1:12" x14ac:dyDescent="0.25">
      <c r="A343" s="3">
        <v>41979</v>
      </c>
      <c r="B343" s="3" t="str">
        <f t="shared" si="42"/>
        <v>Dec</v>
      </c>
      <c r="C343" s="3" t="str">
        <f t="shared" si="43"/>
        <v>2014</v>
      </c>
      <c r="D343" s="3" t="str">
        <f t="shared" si="44"/>
        <v>Saturday</v>
      </c>
      <c r="E343">
        <v>150370.11670000001</v>
      </c>
      <c r="F343">
        <v>154998.8346</v>
      </c>
      <c r="G343">
        <v>3765</v>
      </c>
      <c r="H343" s="1">
        <f t="shared" si="45"/>
        <v>39.9389420185923</v>
      </c>
      <c r="I343" s="1" t="str">
        <f t="shared" si="46"/>
        <v>Medium</v>
      </c>
      <c r="J343">
        <f t="shared" si="47"/>
        <v>-3.0782166041904708</v>
      </c>
      <c r="K343">
        <f t="shared" si="48"/>
        <v>41.168349163346612</v>
      </c>
      <c r="L343">
        <f t="shared" si="49"/>
        <v>-3.0782166041904677</v>
      </c>
    </row>
    <row r="344" spans="1:12" x14ac:dyDescent="0.25">
      <c r="A344" s="3">
        <v>41980</v>
      </c>
      <c r="B344" s="3" t="str">
        <f t="shared" si="42"/>
        <v>Dec</v>
      </c>
      <c r="C344" s="3" t="str">
        <f t="shared" si="43"/>
        <v>2014</v>
      </c>
      <c r="D344" s="3" t="str">
        <f t="shared" si="44"/>
        <v>Sunday</v>
      </c>
      <c r="E344">
        <v>104675.37609999999</v>
      </c>
      <c r="F344">
        <v>111903.73789999999</v>
      </c>
      <c r="G344">
        <v>2712</v>
      </c>
      <c r="H344" s="1">
        <f t="shared" si="45"/>
        <v>38.59711508112094</v>
      </c>
      <c r="I344" s="1" t="str">
        <f t="shared" si="46"/>
        <v>Medium</v>
      </c>
      <c r="J344">
        <f t="shared" si="47"/>
        <v>-6.9055035379997065</v>
      </c>
      <c r="K344">
        <f t="shared" si="48"/>
        <v>41.262440228613563</v>
      </c>
      <c r="L344">
        <f t="shared" si="49"/>
        <v>-6.9055035379997038</v>
      </c>
    </row>
    <row r="345" spans="1:12" x14ac:dyDescent="0.25">
      <c r="A345" s="3">
        <v>41981</v>
      </c>
      <c r="B345" s="3" t="str">
        <f t="shared" si="42"/>
        <v>Dec</v>
      </c>
      <c r="C345" s="3" t="str">
        <f t="shared" si="43"/>
        <v>2014</v>
      </c>
      <c r="D345" s="3" t="str">
        <f t="shared" si="44"/>
        <v>Monday</v>
      </c>
      <c r="E345">
        <v>90121.530480000001</v>
      </c>
      <c r="F345">
        <v>91081.668189999997</v>
      </c>
      <c r="G345">
        <v>2222</v>
      </c>
      <c r="H345" s="1">
        <f t="shared" si="45"/>
        <v>40.55874459045905</v>
      </c>
      <c r="I345" s="1" t="str">
        <f t="shared" si="46"/>
        <v>High</v>
      </c>
      <c r="J345">
        <f t="shared" si="47"/>
        <v>-1.0653810525477834</v>
      </c>
      <c r="K345">
        <f t="shared" si="48"/>
        <v>40.990849770477048</v>
      </c>
      <c r="L345">
        <f t="shared" si="49"/>
        <v>-1.0653810525477807</v>
      </c>
    </row>
    <row r="346" spans="1:12" x14ac:dyDescent="0.25">
      <c r="A346" s="3">
        <v>41982</v>
      </c>
      <c r="B346" s="3" t="str">
        <f t="shared" si="42"/>
        <v>Dec</v>
      </c>
      <c r="C346" s="3" t="str">
        <f t="shared" si="43"/>
        <v>2014</v>
      </c>
      <c r="D346" s="3" t="str">
        <f t="shared" si="44"/>
        <v>Tuesday</v>
      </c>
      <c r="E346">
        <v>75425.443700000003</v>
      </c>
      <c r="F346">
        <v>77014.255959999995</v>
      </c>
      <c r="G346">
        <v>1861</v>
      </c>
      <c r="H346" s="1">
        <f t="shared" si="45"/>
        <v>40.529523750671686</v>
      </c>
      <c r="I346" s="1" t="str">
        <f t="shared" si="46"/>
        <v>High</v>
      </c>
      <c r="J346">
        <f t="shared" si="47"/>
        <v>-2.1064672371294137</v>
      </c>
      <c r="K346">
        <f t="shared" si="48"/>
        <v>41.38326488984417</v>
      </c>
      <c r="L346">
        <f t="shared" si="49"/>
        <v>-2.1064672371294164</v>
      </c>
    </row>
    <row r="347" spans="1:12" x14ac:dyDescent="0.25">
      <c r="A347" s="3">
        <v>41983</v>
      </c>
      <c r="B347" s="3" t="str">
        <f t="shared" si="42"/>
        <v>Dec</v>
      </c>
      <c r="C347" s="3" t="str">
        <f t="shared" si="43"/>
        <v>2014</v>
      </c>
      <c r="D347" s="3" t="str">
        <f t="shared" si="44"/>
        <v>Wednesday</v>
      </c>
      <c r="E347">
        <v>161844.8094</v>
      </c>
      <c r="F347">
        <v>169348.51860000001</v>
      </c>
      <c r="G347">
        <v>4095</v>
      </c>
      <c r="H347" s="1">
        <f t="shared" si="45"/>
        <v>39.522541978021977</v>
      </c>
      <c r="I347" s="1" t="str">
        <f t="shared" si="46"/>
        <v>Medium</v>
      </c>
      <c r="J347">
        <f t="shared" si="47"/>
        <v>-4.6363607383012013</v>
      </c>
      <c r="K347">
        <f t="shared" si="48"/>
        <v>41.354949597069599</v>
      </c>
      <c r="L347">
        <f t="shared" si="49"/>
        <v>-4.6363607383012013</v>
      </c>
    </row>
    <row r="348" spans="1:12" x14ac:dyDescent="0.25">
      <c r="A348" s="3">
        <v>41984</v>
      </c>
      <c r="B348" s="3" t="str">
        <f t="shared" si="42"/>
        <v>Dec</v>
      </c>
      <c r="C348" s="3" t="str">
        <f t="shared" si="43"/>
        <v>2014</v>
      </c>
      <c r="D348" s="3" t="str">
        <f t="shared" si="44"/>
        <v>Thursday</v>
      </c>
      <c r="E348">
        <v>158603.35699999999</v>
      </c>
      <c r="F348">
        <v>171692.99359999999</v>
      </c>
      <c r="G348">
        <v>4157</v>
      </c>
      <c r="H348" s="1">
        <f t="shared" si="45"/>
        <v>38.153321385614625</v>
      </c>
      <c r="I348" s="1" t="str">
        <f t="shared" si="46"/>
        <v>Medium</v>
      </c>
      <c r="J348">
        <f t="shared" si="47"/>
        <v>-8.2530640256246279</v>
      </c>
      <c r="K348">
        <f t="shared" si="48"/>
        <v>41.30213942747173</v>
      </c>
      <c r="L348">
        <f t="shared" si="49"/>
        <v>-8.2530640256246173</v>
      </c>
    </row>
    <row r="349" spans="1:12" x14ac:dyDescent="0.25">
      <c r="A349" s="3">
        <v>41985</v>
      </c>
      <c r="B349" s="3" t="str">
        <f t="shared" si="42"/>
        <v>Dec</v>
      </c>
      <c r="C349" s="3" t="str">
        <f t="shared" si="43"/>
        <v>2014</v>
      </c>
      <c r="D349" s="3" t="str">
        <f t="shared" si="44"/>
        <v>Friday</v>
      </c>
      <c r="E349">
        <v>279092.09600000002</v>
      </c>
      <c r="F349">
        <v>301236.10989999998</v>
      </c>
      <c r="G349">
        <v>7259</v>
      </c>
      <c r="H349" s="1">
        <f t="shared" si="45"/>
        <v>38.447733296597328</v>
      </c>
      <c r="I349" s="1" t="str">
        <f t="shared" si="46"/>
        <v>Medium</v>
      </c>
      <c r="J349">
        <f t="shared" si="47"/>
        <v>-7.9343034852552616</v>
      </c>
      <c r="K349">
        <f t="shared" si="48"/>
        <v>41.498293139550903</v>
      </c>
      <c r="L349">
        <f t="shared" si="49"/>
        <v>-7.9343034852552767</v>
      </c>
    </row>
    <row r="350" spans="1:12" x14ac:dyDescent="0.25">
      <c r="A350" s="3">
        <v>41986</v>
      </c>
      <c r="B350" s="3" t="str">
        <f t="shared" si="42"/>
        <v>Dec</v>
      </c>
      <c r="C350" s="3" t="str">
        <f t="shared" si="43"/>
        <v>2014</v>
      </c>
      <c r="D350" s="3" t="str">
        <f t="shared" si="44"/>
        <v>Saturday</v>
      </c>
      <c r="E350">
        <v>369350.98950000003</v>
      </c>
      <c r="F350">
        <v>402564.67859999998</v>
      </c>
      <c r="G350">
        <v>9654</v>
      </c>
      <c r="H350" s="1">
        <f t="shared" si="45"/>
        <v>38.258855344934744</v>
      </c>
      <c r="I350" s="1" t="str">
        <f t="shared" si="46"/>
        <v>Medium</v>
      </c>
      <c r="J350">
        <f t="shared" si="47"/>
        <v>-8.9924462216717451</v>
      </c>
      <c r="K350">
        <f t="shared" si="48"/>
        <v>41.699262336855185</v>
      </c>
      <c r="L350">
        <f t="shared" si="49"/>
        <v>-8.992446221671738</v>
      </c>
    </row>
    <row r="351" spans="1:12" x14ac:dyDescent="0.25">
      <c r="A351" s="3">
        <v>41987</v>
      </c>
      <c r="B351" s="3" t="str">
        <f t="shared" si="42"/>
        <v>Dec</v>
      </c>
      <c r="C351" s="3" t="str">
        <f t="shared" si="43"/>
        <v>2014</v>
      </c>
      <c r="D351" s="3" t="str">
        <f t="shared" si="44"/>
        <v>Sunday</v>
      </c>
      <c r="E351">
        <v>177500.10769999999</v>
      </c>
      <c r="F351">
        <v>192327.32070000001</v>
      </c>
      <c r="G351">
        <v>4632</v>
      </c>
      <c r="H351" s="1">
        <f t="shared" si="45"/>
        <v>38.320403216753022</v>
      </c>
      <c r="I351" s="1" t="str">
        <f t="shared" si="46"/>
        <v>Medium</v>
      </c>
      <c r="J351">
        <f t="shared" si="47"/>
        <v>-8.3533543681337274</v>
      </c>
      <c r="K351">
        <f t="shared" si="48"/>
        <v>41.521442292746116</v>
      </c>
      <c r="L351">
        <f t="shared" si="49"/>
        <v>-8.3533543681337221</v>
      </c>
    </row>
    <row r="352" spans="1:12" x14ac:dyDescent="0.25">
      <c r="A352" s="3">
        <v>41988</v>
      </c>
      <c r="B352" s="3" t="str">
        <f t="shared" si="42"/>
        <v>Dec</v>
      </c>
      <c r="C352" s="3" t="str">
        <f t="shared" si="43"/>
        <v>2014</v>
      </c>
      <c r="D352" s="3" t="str">
        <f t="shared" si="44"/>
        <v>Monday</v>
      </c>
      <c r="E352">
        <v>282246.6287</v>
      </c>
      <c r="F352">
        <v>304489.63829999999</v>
      </c>
      <c r="G352">
        <v>7341</v>
      </c>
      <c r="H352" s="1">
        <f t="shared" si="45"/>
        <v>38.447981024383601</v>
      </c>
      <c r="I352" s="1" t="str">
        <f t="shared" si="46"/>
        <v>Medium</v>
      </c>
      <c r="J352">
        <f t="shared" si="47"/>
        <v>-7.8806998342014172</v>
      </c>
      <c r="K352">
        <f t="shared" si="48"/>
        <v>41.477951001225989</v>
      </c>
      <c r="L352">
        <f t="shared" si="49"/>
        <v>-7.8806998342014083</v>
      </c>
    </row>
    <row r="353" spans="1:12" x14ac:dyDescent="0.25">
      <c r="A353" s="3">
        <v>41989</v>
      </c>
      <c r="B353" s="3" t="str">
        <f t="shared" si="42"/>
        <v>Dec</v>
      </c>
      <c r="C353" s="3" t="str">
        <f t="shared" si="43"/>
        <v>2014</v>
      </c>
      <c r="D353" s="3" t="str">
        <f t="shared" si="44"/>
        <v>Tuesday</v>
      </c>
      <c r="E353">
        <v>166037.92569999999</v>
      </c>
      <c r="F353">
        <v>179571.12909999999</v>
      </c>
      <c r="G353">
        <v>4308</v>
      </c>
      <c r="H353" s="1">
        <f t="shared" si="45"/>
        <v>38.541765482822655</v>
      </c>
      <c r="I353" s="1" t="str">
        <f t="shared" si="46"/>
        <v>Medium</v>
      </c>
      <c r="J353">
        <f t="shared" si="47"/>
        <v>-8.1506700008117487</v>
      </c>
      <c r="K353">
        <f t="shared" si="48"/>
        <v>41.6831775998143</v>
      </c>
      <c r="L353">
        <f t="shared" si="49"/>
        <v>-8.1506700008117541</v>
      </c>
    </row>
    <row r="354" spans="1:12" x14ac:dyDescent="0.25">
      <c r="A354" s="3">
        <v>41990</v>
      </c>
      <c r="B354" s="3" t="str">
        <f t="shared" si="42"/>
        <v>Dec</v>
      </c>
      <c r="C354" s="3" t="str">
        <f t="shared" si="43"/>
        <v>2014</v>
      </c>
      <c r="D354" s="3" t="str">
        <f t="shared" si="44"/>
        <v>Wednesday</v>
      </c>
      <c r="E354">
        <v>148910.99840000001</v>
      </c>
      <c r="F354">
        <v>161137.522</v>
      </c>
      <c r="G354">
        <v>3865</v>
      </c>
      <c r="H354" s="1">
        <f t="shared" si="45"/>
        <v>38.52807203104787</v>
      </c>
      <c r="I354" s="1" t="str">
        <f t="shared" si="46"/>
        <v>Medium</v>
      </c>
      <c r="J354">
        <f t="shared" si="47"/>
        <v>-8.2106249581091966</v>
      </c>
      <c r="K354">
        <f t="shared" si="48"/>
        <v>41.691467529107371</v>
      </c>
      <c r="L354">
        <f t="shared" si="49"/>
        <v>-8.2106249581091841</v>
      </c>
    </row>
    <row r="355" spans="1:12" x14ac:dyDescent="0.25">
      <c r="A355" s="3">
        <v>41991</v>
      </c>
      <c r="B355" s="3" t="str">
        <f t="shared" si="42"/>
        <v>Dec</v>
      </c>
      <c r="C355" s="3" t="str">
        <f t="shared" si="43"/>
        <v>2014</v>
      </c>
      <c r="D355" s="3" t="str">
        <f t="shared" si="44"/>
        <v>Thursday</v>
      </c>
      <c r="E355">
        <v>202359.14290000001</v>
      </c>
      <c r="F355">
        <v>221435.76860000001</v>
      </c>
      <c r="G355">
        <v>5288</v>
      </c>
      <c r="H355" s="1">
        <f t="shared" si="45"/>
        <v>38.267614012859305</v>
      </c>
      <c r="I355" s="1" t="str">
        <f t="shared" si="46"/>
        <v>Medium</v>
      </c>
      <c r="J355">
        <f t="shared" si="47"/>
        <v>-9.4271133128030282</v>
      </c>
      <c r="K355">
        <f t="shared" si="48"/>
        <v>41.875145347957641</v>
      </c>
      <c r="L355">
        <f t="shared" si="49"/>
        <v>-9.4271133128030282</v>
      </c>
    </row>
    <row r="356" spans="1:12" x14ac:dyDescent="0.25">
      <c r="A356" s="3">
        <v>41992</v>
      </c>
      <c r="B356" s="3" t="str">
        <f t="shared" si="42"/>
        <v>Dec</v>
      </c>
      <c r="C356" s="3" t="str">
        <f t="shared" si="43"/>
        <v>2014</v>
      </c>
      <c r="D356" s="3" t="str">
        <f t="shared" si="44"/>
        <v>Friday</v>
      </c>
      <c r="E356">
        <v>274343.65429999999</v>
      </c>
      <c r="F356">
        <v>299516.83779999998</v>
      </c>
      <c r="G356">
        <v>7141</v>
      </c>
      <c r="H356" s="1">
        <f t="shared" si="45"/>
        <v>38.418100308080099</v>
      </c>
      <c r="I356" s="1" t="str">
        <f t="shared" si="46"/>
        <v>Medium</v>
      </c>
      <c r="J356">
        <f t="shared" si="47"/>
        <v>-9.1757848615928364</v>
      </c>
      <c r="K356">
        <f t="shared" si="48"/>
        <v>41.943262540260463</v>
      </c>
      <c r="L356">
        <f t="shared" si="49"/>
        <v>-9.1757848615928346</v>
      </c>
    </row>
    <row r="357" spans="1:12" x14ac:dyDescent="0.25">
      <c r="A357" s="3">
        <v>41993</v>
      </c>
      <c r="B357" s="3" t="str">
        <f t="shared" si="42"/>
        <v>Dec</v>
      </c>
      <c r="C357" s="3" t="str">
        <f t="shared" si="43"/>
        <v>2014</v>
      </c>
      <c r="D357" s="3" t="str">
        <f t="shared" si="44"/>
        <v>Saturday</v>
      </c>
      <c r="E357">
        <v>316167.0747</v>
      </c>
      <c r="F357">
        <v>346378.30479999998</v>
      </c>
      <c r="G357">
        <v>8268</v>
      </c>
      <c r="H357" s="1">
        <f t="shared" si="45"/>
        <v>38.239849383164007</v>
      </c>
      <c r="I357" s="1" t="str">
        <f t="shared" si="46"/>
        <v>Medium</v>
      </c>
      <c r="J357">
        <f t="shared" si="47"/>
        <v>-9.5554637144510934</v>
      </c>
      <c r="K357">
        <f t="shared" si="48"/>
        <v>41.893844315432993</v>
      </c>
      <c r="L357">
        <f t="shared" si="49"/>
        <v>-9.5554637144510917</v>
      </c>
    </row>
    <row r="358" spans="1:12" x14ac:dyDescent="0.25">
      <c r="A358" s="3">
        <v>41994</v>
      </c>
      <c r="B358" s="3" t="str">
        <f t="shared" si="42"/>
        <v>Dec</v>
      </c>
      <c r="C358" s="3" t="str">
        <f t="shared" si="43"/>
        <v>2014</v>
      </c>
      <c r="D358" s="3" t="str">
        <f t="shared" si="44"/>
        <v>Sunday</v>
      </c>
      <c r="E358">
        <v>173833.4001</v>
      </c>
      <c r="F358">
        <v>190644.50159999999</v>
      </c>
      <c r="G358">
        <v>4541</v>
      </c>
      <c r="H358" s="1">
        <f t="shared" si="45"/>
        <v>38.280863268002641</v>
      </c>
      <c r="I358" s="1" t="str">
        <f t="shared" si="46"/>
        <v>Medium</v>
      </c>
      <c r="J358">
        <f t="shared" si="47"/>
        <v>-9.6708121053429181</v>
      </c>
      <c r="K358">
        <f t="shared" si="48"/>
        <v>41.982933626954413</v>
      </c>
      <c r="L358">
        <f t="shared" si="49"/>
        <v>-9.6708121053429235</v>
      </c>
    </row>
    <row r="359" spans="1:12" x14ac:dyDescent="0.25">
      <c r="A359" s="3">
        <v>41995</v>
      </c>
      <c r="B359" s="3" t="str">
        <f t="shared" si="42"/>
        <v>Dec</v>
      </c>
      <c r="C359" s="3" t="str">
        <f t="shared" si="43"/>
        <v>2014</v>
      </c>
      <c r="D359" s="3" t="str">
        <f t="shared" si="44"/>
        <v>Monday</v>
      </c>
      <c r="E359">
        <v>204565.08180000001</v>
      </c>
      <c r="F359">
        <v>210188.9094</v>
      </c>
      <c r="G359">
        <v>5014</v>
      </c>
      <c r="H359" s="1">
        <f t="shared" si="45"/>
        <v>40.798779776625452</v>
      </c>
      <c r="I359" s="1" t="str">
        <f t="shared" si="46"/>
        <v>Medium</v>
      </c>
      <c r="J359">
        <f t="shared" si="47"/>
        <v>-2.7491630294452283</v>
      </c>
      <c r="K359">
        <f t="shared" si="48"/>
        <v>41.920404746709217</v>
      </c>
      <c r="L359">
        <f t="shared" si="49"/>
        <v>-2.7491630294452323</v>
      </c>
    </row>
    <row r="360" spans="1:12" x14ac:dyDescent="0.25">
      <c r="A360" s="3">
        <v>41996</v>
      </c>
      <c r="B360" s="3" t="str">
        <f t="shared" si="42"/>
        <v>Dec</v>
      </c>
      <c r="C360" s="3" t="str">
        <f t="shared" si="43"/>
        <v>2014</v>
      </c>
      <c r="D360" s="3" t="str">
        <f t="shared" si="44"/>
        <v>Tuesday</v>
      </c>
      <c r="E360">
        <v>316394.73090000002</v>
      </c>
      <c r="F360">
        <v>326627.1384</v>
      </c>
      <c r="G360">
        <v>7778</v>
      </c>
      <c r="H360" s="1">
        <f t="shared" si="45"/>
        <v>40.678160311133972</v>
      </c>
      <c r="I360" s="1" t="str">
        <f t="shared" si="46"/>
        <v>Medium</v>
      </c>
      <c r="J360">
        <f t="shared" si="47"/>
        <v>-3.2340638135449971</v>
      </c>
      <c r="K360">
        <f t="shared" si="48"/>
        <v>41.993717973772178</v>
      </c>
      <c r="L360">
        <f t="shared" si="49"/>
        <v>-3.2340638135449948</v>
      </c>
    </row>
    <row r="361" spans="1:12" x14ac:dyDescent="0.25">
      <c r="A361" s="3">
        <v>41997</v>
      </c>
      <c r="B361" s="3" t="str">
        <f t="shared" si="42"/>
        <v>Dec</v>
      </c>
      <c r="C361" s="3" t="str">
        <f t="shared" si="43"/>
        <v>2014</v>
      </c>
      <c r="D361" s="3" t="str">
        <f t="shared" si="44"/>
        <v>Wednesday</v>
      </c>
      <c r="E361">
        <v>486230.32020000002</v>
      </c>
      <c r="F361">
        <v>495909.08960000001</v>
      </c>
      <c r="G361">
        <v>11809</v>
      </c>
      <c r="H361" s="1">
        <f t="shared" si="45"/>
        <v>41.174555017359644</v>
      </c>
      <c r="I361" s="1" t="str">
        <f t="shared" si="46"/>
        <v>High</v>
      </c>
      <c r="J361">
        <f t="shared" si="47"/>
        <v>-1.9905729852508671</v>
      </c>
      <c r="K361">
        <f t="shared" si="48"/>
        <v>41.99416458633246</v>
      </c>
      <c r="L361">
        <f t="shared" si="49"/>
        <v>-1.990572985250864</v>
      </c>
    </row>
    <row r="362" spans="1:12" x14ac:dyDescent="0.25">
      <c r="A362" s="3">
        <v>41998</v>
      </c>
      <c r="B362" s="3" t="str">
        <f t="shared" si="42"/>
        <v>Dec</v>
      </c>
      <c r="C362" s="3" t="str">
        <f t="shared" si="43"/>
        <v>2014</v>
      </c>
      <c r="D362" s="3" t="str">
        <f t="shared" si="44"/>
        <v>Thursday</v>
      </c>
      <c r="E362">
        <v>137686.53210000001</v>
      </c>
      <c r="F362">
        <v>140525.7867</v>
      </c>
      <c r="G362">
        <v>3344</v>
      </c>
      <c r="H362" s="1">
        <f t="shared" si="45"/>
        <v>41.174202183014359</v>
      </c>
      <c r="I362" s="1" t="str">
        <f t="shared" si="46"/>
        <v>High</v>
      </c>
      <c r="J362">
        <f t="shared" si="47"/>
        <v>-2.0621149771844571</v>
      </c>
      <c r="K362">
        <f t="shared" si="48"/>
        <v>42.023261572966504</v>
      </c>
      <c r="L362">
        <f t="shared" si="49"/>
        <v>-2.0621149771844496</v>
      </c>
    </row>
    <row r="363" spans="1:12" x14ac:dyDescent="0.25">
      <c r="A363" s="3">
        <v>41999</v>
      </c>
      <c r="B363" s="3" t="str">
        <f t="shared" si="42"/>
        <v>Dec</v>
      </c>
      <c r="C363" s="3" t="str">
        <f t="shared" si="43"/>
        <v>2014</v>
      </c>
      <c r="D363" s="3" t="str">
        <f t="shared" si="44"/>
        <v>Friday</v>
      </c>
      <c r="E363">
        <v>48102.96241</v>
      </c>
      <c r="F363">
        <v>49028.36507</v>
      </c>
      <c r="G363">
        <v>1169</v>
      </c>
      <c r="H363" s="1">
        <f t="shared" si="45"/>
        <v>41.148813011120616</v>
      </c>
      <c r="I363" s="1" t="str">
        <f t="shared" si="46"/>
        <v>High</v>
      </c>
      <c r="J363">
        <f t="shared" si="47"/>
        <v>-1.9237955702445888</v>
      </c>
      <c r="K363">
        <f t="shared" si="48"/>
        <v>41.940432053036787</v>
      </c>
      <c r="L363">
        <f t="shared" si="49"/>
        <v>-1.923795570244597</v>
      </c>
    </row>
    <row r="364" spans="1:12" x14ac:dyDescent="0.25">
      <c r="A364" s="3">
        <v>42000</v>
      </c>
      <c r="B364" s="3" t="str">
        <f t="shared" si="42"/>
        <v>Dec</v>
      </c>
      <c r="C364" s="3" t="str">
        <f t="shared" si="43"/>
        <v>2014</v>
      </c>
      <c r="D364" s="3" t="str">
        <f t="shared" si="44"/>
        <v>Saturday</v>
      </c>
      <c r="E364">
        <v>110162.132</v>
      </c>
      <c r="F364">
        <v>112383.5592</v>
      </c>
      <c r="G364">
        <v>2676</v>
      </c>
      <c r="H364" s="1">
        <f t="shared" si="45"/>
        <v>41.166715994020926</v>
      </c>
      <c r="I364" s="1" t="str">
        <f t="shared" si="46"/>
        <v>High</v>
      </c>
      <c r="J364">
        <f t="shared" si="47"/>
        <v>-2.0165070879347229</v>
      </c>
      <c r="K364">
        <f t="shared" si="48"/>
        <v>41.996845739910313</v>
      </c>
      <c r="L364">
        <f t="shared" si="49"/>
        <v>-2.0165070879347176</v>
      </c>
    </row>
    <row r="365" spans="1:12" x14ac:dyDescent="0.25">
      <c r="A365" s="3">
        <v>42001</v>
      </c>
      <c r="B365" s="3" t="str">
        <f t="shared" si="42"/>
        <v>Dec</v>
      </c>
      <c r="C365" s="3" t="str">
        <f t="shared" si="43"/>
        <v>2014</v>
      </c>
      <c r="D365" s="3" t="str">
        <f t="shared" si="44"/>
        <v>Sunday</v>
      </c>
      <c r="E365">
        <v>69051.337090000001</v>
      </c>
      <c r="F365">
        <v>70482.717799999999</v>
      </c>
      <c r="G365">
        <v>1677</v>
      </c>
      <c r="H365" s="1">
        <f t="shared" si="45"/>
        <v>41.175514066785929</v>
      </c>
      <c r="I365" s="1" t="str">
        <f t="shared" si="46"/>
        <v>High</v>
      </c>
      <c r="J365">
        <f t="shared" si="47"/>
        <v>-2.072922510007833</v>
      </c>
      <c r="K365">
        <f t="shared" si="48"/>
        <v>42.029050566487776</v>
      </c>
      <c r="L365">
        <f t="shared" si="49"/>
        <v>-2.0729225100078303</v>
      </c>
    </row>
    <row r="366" spans="1:12" x14ac:dyDescent="0.25">
      <c r="A366" s="3">
        <v>42002</v>
      </c>
      <c r="B366" s="3" t="str">
        <f t="shared" si="42"/>
        <v>Dec</v>
      </c>
      <c r="C366" s="3" t="str">
        <f t="shared" si="43"/>
        <v>2014</v>
      </c>
      <c r="D366" s="3" t="str">
        <f t="shared" si="44"/>
        <v>Monday</v>
      </c>
      <c r="E366">
        <v>133307.36900000001</v>
      </c>
      <c r="F366">
        <v>136003.48250000001</v>
      </c>
      <c r="G366">
        <v>3237</v>
      </c>
      <c r="H366" s="1">
        <f t="shared" si="45"/>
        <v>41.182381526104422</v>
      </c>
      <c r="I366" s="1" t="str">
        <f t="shared" si="46"/>
        <v>High</v>
      </c>
      <c r="J366">
        <f t="shared" si="47"/>
        <v>-2.0224789673855215</v>
      </c>
      <c r="K366">
        <f t="shared" si="48"/>
        <v>42.015286530738344</v>
      </c>
      <c r="L366">
        <f t="shared" si="49"/>
        <v>-2.0224789673855201</v>
      </c>
    </row>
    <row r="367" spans="1:12" x14ac:dyDescent="0.25">
      <c r="A367" s="3">
        <v>42003</v>
      </c>
      <c r="B367" s="3" t="str">
        <f t="shared" si="42"/>
        <v>Dec</v>
      </c>
      <c r="C367" s="3" t="str">
        <f t="shared" si="43"/>
        <v>2014</v>
      </c>
      <c r="D367" s="3" t="str">
        <f t="shared" si="44"/>
        <v>Tuesday</v>
      </c>
      <c r="E367">
        <v>216389.5043</v>
      </c>
      <c r="F367">
        <v>235723.7648</v>
      </c>
      <c r="G367">
        <v>5607</v>
      </c>
      <c r="H367" s="1">
        <f t="shared" si="45"/>
        <v>38.592741983235243</v>
      </c>
      <c r="I367" s="1" t="str">
        <f t="shared" si="46"/>
        <v>Medium</v>
      </c>
      <c r="J367">
        <f t="shared" si="47"/>
        <v>-8.9349345119785486</v>
      </c>
      <c r="K367">
        <f t="shared" si="48"/>
        <v>42.040978205814163</v>
      </c>
      <c r="L367">
        <f t="shared" si="49"/>
        <v>-8.9349345119785486</v>
      </c>
    </row>
    <row r="368" spans="1:12" x14ac:dyDescent="0.25">
      <c r="A368" s="3">
        <v>42004</v>
      </c>
      <c r="B368" s="3" t="str">
        <f t="shared" si="42"/>
        <v>Dec</v>
      </c>
      <c r="C368" s="3" t="str">
        <f t="shared" si="43"/>
        <v>2014</v>
      </c>
      <c r="D368" s="3" t="str">
        <f t="shared" si="44"/>
        <v>Wednesday</v>
      </c>
      <c r="E368">
        <v>365055.31199999998</v>
      </c>
      <c r="F368">
        <v>398013.34830000001</v>
      </c>
      <c r="G368">
        <v>9464</v>
      </c>
      <c r="H368" s="1">
        <f t="shared" si="45"/>
        <v>38.573046491969563</v>
      </c>
      <c r="I368" s="1" t="str">
        <f t="shared" si="46"/>
        <v>Medium</v>
      </c>
      <c r="J368">
        <f t="shared" si="47"/>
        <v>-9.0282308506717577</v>
      </c>
      <c r="K368">
        <f t="shared" si="48"/>
        <v>42.055510175401523</v>
      </c>
      <c r="L368">
        <f t="shared" si="49"/>
        <v>-9.0282308506717648</v>
      </c>
    </row>
    <row r="369" spans="1:12" x14ac:dyDescent="0.25">
      <c r="A369" s="3">
        <v>42005</v>
      </c>
      <c r="B369" s="3" t="str">
        <f t="shared" si="42"/>
        <v>Jan</v>
      </c>
      <c r="C369" s="3" t="str">
        <f t="shared" si="43"/>
        <v>2015</v>
      </c>
      <c r="D369" s="3" t="str">
        <f t="shared" si="44"/>
        <v>Thursday</v>
      </c>
      <c r="E369">
        <v>112161.41959999999</v>
      </c>
      <c r="F369">
        <v>122170.4317</v>
      </c>
      <c r="G369">
        <v>2905</v>
      </c>
      <c r="H369" s="1">
        <f t="shared" si="45"/>
        <v>38.609782994836486</v>
      </c>
      <c r="I369" s="1" t="str">
        <f t="shared" si="46"/>
        <v>Medium</v>
      </c>
      <c r="J369">
        <f t="shared" si="47"/>
        <v>-8.923756614079096</v>
      </c>
      <c r="K369">
        <f t="shared" si="48"/>
        <v>42.055226058519793</v>
      </c>
      <c r="L369">
        <f t="shared" si="49"/>
        <v>-8.923756614079096</v>
      </c>
    </row>
    <row r="370" spans="1:12" x14ac:dyDescent="0.25">
      <c r="A370" s="3">
        <v>42006</v>
      </c>
      <c r="B370" s="3" t="str">
        <f t="shared" si="42"/>
        <v>Jan</v>
      </c>
      <c r="C370" s="3" t="str">
        <f t="shared" si="43"/>
        <v>2015</v>
      </c>
      <c r="D370" s="3" t="str">
        <f t="shared" si="44"/>
        <v>Friday</v>
      </c>
      <c r="E370">
        <v>271101.46169999999</v>
      </c>
      <c r="F370">
        <v>295019.4694</v>
      </c>
      <c r="G370">
        <v>7023</v>
      </c>
      <c r="H370" s="1">
        <f t="shared" si="45"/>
        <v>38.601945279794954</v>
      </c>
      <c r="I370" s="1" t="str">
        <f t="shared" si="46"/>
        <v>Medium</v>
      </c>
      <c r="J370">
        <f t="shared" si="47"/>
        <v>-8.8225299672001061</v>
      </c>
      <c r="K370">
        <f t="shared" si="48"/>
        <v>42.007613470027053</v>
      </c>
      <c r="L370">
        <f t="shared" si="49"/>
        <v>-8.8225299672001114</v>
      </c>
    </row>
    <row r="371" spans="1:12" x14ac:dyDescent="0.25">
      <c r="A371" s="3">
        <v>42007</v>
      </c>
      <c r="B371" s="3" t="str">
        <f t="shared" si="42"/>
        <v>Jan</v>
      </c>
      <c r="C371" s="3" t="str">
        <f t="shared" si="43"/>
        <v>2015</v>
      </c>
      <c r="D371" s="3" t="str">
        <f t="shared" si="44"/>
        <v>Saturday</v>
      </c>
      <c r="E371">
        <v>245813.28829999999</v>
      </c>
      <c r="F371">
        <v>267734.72529999999</v>
      </c>
      <c r="G371">
        <v>6371</v>
      </c>
      <c r="H371" s="1">
        <f t="shared" si="45"/>
        <v>38.583156223512788</v>
      </c>
      <c r="I371" s="1" t="str">
        <f t="shared" si="46"/>
        <v>Medium</v>
      </c>
      <c r="J371">
        <f t="shared" si="47"/>
        <v>-8.9179218713539363</v>
      </c>
      <c r="K371">
        <f t="shared" si="48"/>
        <v>42.023971951028095</v>
      </c>
      <c r="L371">
        <f t="shared" si="49"/>
        <v>-8.9179218713539434</v>
      </c>
    </row>
    <row r="372" spans="1:12" x14ac:dyDescent="0.25">
      <c r="A372" s="3">
        <v>42008</v>
      </c>
      <c r="B372" s="3" t="str">
        <f t="shared" si="42"/>
        <v>Jan</v>
      </c>
      <c r="C372" s="3" t="str">
        <f t="shared" si="43"/>
        <v>2015</v>
      </c>
      <c r="D372" s="3" t="str">
        <f t="shared" si="44"/>
        <v>Sunday</v>
      </c>
      <c r="E372">
        <v>178394.81200000001</v>
      </c>
      <c r="F372">
        <v>194427.448</v>
      </c>
      <c r="G372">
        <v>4624</v>
      </c>
      <c r="H372" s="1">
        <f t="shared" si="45"/>
        <v>38.580192906574396</v>
      </c>
      <c r="I372" s="1" t="str">
        <f t="shared" si="46"/>
        <v>Medium</v>
      </c>
      <c r="J372">
        <f t="shared" si="47"/>
        <v>-8.9871649406486096</v>
      </c>
      <c r="K372">
        <f t="shared" si="48"/>
        <v>42.047458477508648</v>
      </c>
      <c r="L372">
        <f t="shared" si="49"/>
        <v>-8.9871649406485989</v>
      </c>
    </row>
    <row r="373" spans="1:12" x14ac:dyDescent="0.25">
      <c r="A373" s="3">
        <v>42009</v>
      </c>
      <c r="B373" s="3" t="str">
        <f t="shared" si="42"/>
        <v>Jan</v>
      </c>
      <c r="C373" s="3" t="str">
        <f t="shared" si="43"/>
        <v>2015</v>
      </c>
      <c r="D373" s="3" t="str">
        <f t="shared" si="44"/>
        <v>Monday</v>
      </c>
      <c r="E373">
        <v>220443.63149999999</v>
      </c>
      <c r="F373">
        <v>239988.0275</v>
      </c>
      <c r="G373">
        <v>5717</v>
      </c>
      <c r="H373" s="1">
        <f t="shared" si="45"/>
        <v>38.559319835578101</v>
      </c>
      <c r="I373" s="1" t="str">
        <f t="shared" si="46"/>
        <v>Medium</v>
      </c>
      <c r="J373">
        <f t="shared" si="47"/>
        <v>-8.8659381389296374</v>
      </c>
      <c r="K373">
        <f t="shared" si="48"/>
        <v>41.977965278992478</v>
      </c>
      <c r="L373">
        <f t="shared" si="49"/>
        <v>-8.8659381389296303</v>
      </c>
    </row>
    <row r="374" spans="1:12" x14ac:dyDescent="0.25">
      <c r="A374" s="3">
        <v>42010</v>
      </c>
      <c r="B374" s="3" t="str">
        <f t="shared" si="42"/>
        <v>Jan</v>
      </c>
      <c r="C374" s="3" t="str">
        <f t="shared" si="43"/>
        <v>2015</v>
      </c>
      <c r="D374" s="3" t="str">
        <f t="shared" si="44"/>
        <v>Tuesday</v>
      </c>
      <c r="E374">
        <v>181534.1887</v>
      </c>
      <c r="F374">
        <v>197328.94390000001</v>
      </c>
      <c r="G374">
        <v>4705</v>
      </c>
      <c r="H374" s="1">
        <f t="shared" si="45"/>
        <v>38.583249458023381</v>
      </c>
      <c r="I374" s="1" t="str">
        <f t="shared" si="46"/>
        <v>Medium</v>
      </c>
      <c r="J374">
        <f t="shared" si="47"/>
        <v>-8.7007055327204128</v>
      </c>
      <c r="K374">
        <f t="shared" si="48"/>
        <v>41.94026437832094</v>
      </c>
      <c r="L374">
        <f t="shared" si="49"/>
        <v>-8.700705532720411</v>
      </c>
    </row>
    <row r="375" spans="1:12" x14ac:dyDescent="0.25">
      <c r="A375" s="3">
        <v>42011</v>
      </c>
      <c r="B375" s="3" t="str">
        <f t="shared" si="42"/>
        <v>Jan</v>
      </c>
      <c r="C375" s="3" t="str">
        <f t="shared" si="43"/>
        <v>2015</v>
      </c>
      <c r="D375" s="3" t="str">
        <f t="shared" si="44"/>
        <v>Wednesday</v>
      </c>
      <c r="E375">
        <v>83176.481390000001</v>
      </c>
      <c r="F375">
        <v>84728.831200000001</v>
      </c>
      <c r="G375">
        <v>2020</v>
      </c>
      <c r="H375" s="1">
        <f t="shared" si="45"/>
        <v>41.176475935643566</v>
      </c>
      <c r="I375" s="1" t="str">
        <f t="shared" si="46"/>
        <v>High</v>
      </c>
      <c r="J375">
        <f t="shared" si="47"/>
        <v>-1.8663326267930263</v>
      </c>
      <c r="K375">
        <f t="shared" si="48"/>
        <v>41.944965940594059</v>
      </c>
      <c r="L375">
        <f t="shared" si="49"/>
        <v>-1.866332626793022</v>
      </c>
    </row>
    <row r="376" spans="1:12" x14ac:dyDescent="0.25">
      <c r="A376" s="3">
        <v>42012</v>
      </c>
      <c r="B376" s="3" t="str">
        <f t="shared" si="42"/>
        <v>Jan</v>
      </c>
      <c r="C376" s="3" t="str">
        <f t="shared" si="43"/>
        <v>2015</v>
      </c>
      <c r="D376" s="3" t="str">
        <f t="shared" si="44"/>
        <v>Thursday</v>
      </c>
      <c r="E376">
        <v>76894.779349999997</v>
      </c>
      <c r="F376">
        <v>78468.095499999996</v>
      </c>
      <c r="G376">
        <v>1868</v>
      </c>
      <c r="H376" s="1">
        <f t="shared" si="45"/>
        <v>41.164228774089935</v>
      </c>
      <c r="I376" s="1" t="str">
        <f t="shared" si="46"/>
        <v>High</v>
      </c>
      <c r="J376">
        <f t="shared" si="47"/>
        <v>-2.0460636772735583</v>
      </c>
      <c r="K376">
        <f t="shared" si="48"/>
        <v>42.006475107066379</v>
      </c>
      <c r="L376">
        <f t="shared" si="49"/>
        <v>-2.0460636772735565</v>
      </c>
    </row>
    <row r="377" spans="1:12" x14ac:dyDescent="0.25">
      <c r="A377" s="3">
        <v>42013</v>
      </c>
      <c r="B377" s="3" t="str">
        <f t="shared" si="42"/>
        <v>Jan</v>
      </c>
      <c r="C377" s="3" t="str">
        <f t="shared" si="43"/>
        <v>2015</v>
      </c>
      <c r="D377" s="3" t="str">
        <f t="shared" si="44"/>
        <v>Friday</v>
      </c>
      <c r="E377">
        <v>123859.38800000001</v>
      </c>
      <c r="F377">
        <v>126444.1425</v>
      </c>
      <c r="G377">
        <v>3008</v>
      </c>
      <c r="H377" s="1">
        <f t="shared" si="45"/>
        <v>41.176658244680851</v>
      </c>
      <c r="I377" s="1" t="str">
        <f t="shared" si="46"/>
        <v>High</v>
      </c>
      <c r="J377">
        <f t="shared" si="47"/>
        <v>-2.0868458513617032</v>
      </c>
      <c r="K377">
        <f t="shared" si="48"/>
        <v>42.035951628989359</v>
      </c>
      <c r="L377">
        <f t="shared" si="49"/>
        <v>-2.0868458513617001</v>
      </c>
    </row>
    <row r="378" spans="1:12" x14ac:dyDescent="0.25">
      <c r="A378" s="3">
        <v>42014</v>
      </c>
      <c r="B378" s="3" t="str">
        <f t="shared" si="42"/>
        <v>Jan</v>
      </c>
      <c r="C378" s="3" t="str">
        <f t="shared" si="43"/>
        <v>2015</v>
      </c>
      <c r="D378" s="3" t="str">
        <f t="shared" si="44"/>
        <v>Saturday</v>
      </c>
      <c r="E378">
        <v>120807.5742</v>
      </c>
      <c r="F378">
        <v>123392.80409999999</v>
      </c>
      <c r="G378">
        <v>2934</v>
      </c>
      <c r="H378" s="1">
        <f t="shared" si="45"/>
        <v>41.175042331288346</v>
      </c>
      <c r="I378" s="1" t="str">
        <f t="shared" si="46"/>
        <v>High</v>
      </c>
      <c r="J378">
        <f t="shared" si="47"/>
        <v>-2.1399568008211785</v>
      </c>
      <c r="K378">
        <f t="shared" si="48"/>
        <v>42.056170449897749</v>
      </c>
      <c r="L378">
        <f t="shared" si="49"/>
        <v>-2.1399568008211771</v>
      </c>
    </row>
    <row r="379" spans="1:12" x14ac:dyDescent="0.25">
      <c r="A379" s="3">
        <v>42015</v>
      </c>
      <c r="B379" s="3" t="str">
        <f t="shared" si="42"/>
        <v>Jan</v>
      </c>
      <c r="C379" s="3" t="str">
        <f t="shared" si="43"/>
        <v>2015</v>
      </c>
      <c r="D379" s="3" t="str">
        <f t="shared" si="44"/>
        <v>Sunday</v>
      </c>
      <c r="E379">
        <v>69597.36735</v>
      </c>
      <c r="F379">
        <v>71051.363500000007</v>
      </c>
      <c r="G379">
        <v>1690</v>
      </c>
      <c r="H379" s="1">
        <f t="shared" si="45"/>
        <v>41.181874171597634</v>
      </c>
      <c r="I379" s="1" t="str">
        <f t="shared" si="46"/>
        <v>High</v>
      </c>
      <c r="J379">
        <f t="shared" si="47"/>
        <v>-2.0891539513096342</v>
      </c>
      <c r="K379">
        <f t="shared" si="48"/>
        <v>42.042226923076925</v>
      </c>
      <c r="L379">
        <f t="shared" si="49"/>
        <v>-2.0891539513096258</v>
      </c>
    </row>
    <row r="380" spans="1:12" x14ac:dyDescent="0.25">
      <c r="A380" s="3">
        <v>42016</v>
      </c>
      <c r="B380" s="3" t="str">
        <f t="shared" si="42"/>
        <v>Jan</v>
      </c>
      <c r="C380" s="3" t="str">
        <f t="shared" si="43"/>
        <v>2015</v>
      </c>
      <c r="D380" s="3" t="str">
        <f t="shared" si="44"/>
        <v>Monday</v>
      </c>
      <c r="E380">
        <v>84738.294410000002</v>
      </c>
      <c r="F380">
        <v>86467.537750000003</v>
      </c>
      <c r="G380">
        <v>2058</v>
      </c>
      <c r="H380" s="1">
        <f t="shared" si="45"/>
        <v>41.175070170068025</v>
      </c>
      <c r="I380" s="1" t="str">
        <f t="shared" si="46"/>
        <v>High</v>
      </c>
      <c r="J380">
        <f t="shared" si="47"/>
        <v>-2.0406869787031399</v>
      </c>
      <c r="K380">
        <f t="shared" si="48"/>
        <v>42.015324465500484</v>
      </c>
      <c r="L380">
        <f t="shared" si="49"/>
        <v>-2.0406869787031394</v>
      </c>
    </row>
    <row r="381" spans="1:12" x14ac:dyDescent="0.25">
      <c r="A381" s="3">
        <v>42017</v>
      </c>
      <c r="B381" s="3" t="str">
        <f t="shared" si="42"/>
        <v>Jan</v>
      </c>
      <c r="C381" s="3" t="str">
        <f t="shared" si="43"/>
        <v>2015</v>
      </c>
      <c r="D381" s="3" t="str">
        <f t="shared" si="44"/>
        <v>Tuesday</v>
      </c>
      <c r="E381">
        <v>64653.972139999998</v>
      </c>
      <c r="F381">
        <v>65980.422089999993</v>
      </c>
      <c r="G381">
        <v>1570</v>
      </c>
      <c r="H381" s="1">
        <f t="shared" si="45"/>
        <v>41.180873974522292</v>
      </c>
      <c r="I381" s="1" t="str">
        <f t="shared" si="46"/>
        <v>High</v>
      </c>
      <c r="J381">
        <f t="shared" si="47"/>
        <v>-2.0516140093105726</v>
      </c>
      <c r="K381">
        <f t="shared" si="48"/>
        <v>42.02574655414012</v>
      </c>
      <c r="L381">
        <f t="shared" si="49"/>
        <v>-2.0516140093105655</v>
      </c>
    </row>
    <row r="382" spans="1:12" x14ac:dyDescent="0.25">
      <c r="A382" s="3">
        <v>42018</v>
      </c>
      <c r="B382" s="3" t="str">
        <f t="shared" si="42"/>
        <v>Jan</v>
      </c>
      <c r="C382" s="3" t="str">
        <f t="shared" si="43"/>
        <v>2015</v>
      </c>
      <c r="D382" s="3" t="str">
        <f t="shared" si="44"/>
        <v>Wednesday</v>
      </c>
      <c r="E382">
        <v>59553.386030000001</v>
      </c>
      <c r="F382">
        <v>60703.356030000003</v>
      </c>
      <c r="G382">
        <v>1446</v>
      </c>
      <c r="H382" s="1">
        <f t="shared" si="45"/>
        <v>41.184914266943295</v>
      </c>
      <c r="I382" s="1" t="str">
        <f t="shared" si="46"/>
        <v>High</v>
      </c>
      <c r="J382">
        <f t="shared" si="47"/>
        <v>-1.930990119387509</v>
      </c>
      <c r="K382">
        <f t="shared" si="48"/>
        <v>41.980190892116184</v>
      </c>
      <c r="L382">
        <f t="shared" si="49"/>
        <v>-1.9309901193875025</v>
      </c>
    </row>
    <row r="383" spans="1:12" x14ac:dyDescent="0.25">
      <c r="A383" s="3">
        <v>42019</v>
      </c>
      <c r="B383" s="3" t="str">
        <f t="shared" si="42"/>
        <v>Jan</v>
      </c>
      <c r="C383" s="3" t="str">
        <f t="shared" si="43"/>
        <v>2015</v>
      </c>
      <c r="D383" s="3" t="str">
        <f t="shared" si="44"/>
        <v>Thursday</v>
      </c>
      <c r="E383">
        <v>79080.756959999999</v>
      </c>
      <c r="F383">
        <v>80337.748309999995</v>
      </c>
      <c r="G383">
        <v>1921</v>
      </c>
      <c r="H383" s="1">
        <f t="shared" si="45"/>
        <v>41.166453388859971</v>
      </c>
      <c r="I383" s="1" t="str">
        <f t="shared" si="46"/>
        <v>High</v>
      </c>
      <c r="J383">
        <f t="shared" si="47"/>
        <v>-1.5895034371456487</v>
      </c>
      <c r="K383">
        <f t="shared" si="48"/>
        <v>41.820795580426861</v>
      </c>
      <c r="L383">
        <f t="shared" si="49"/>
        <v>-1.5895034371456476</v>
      </c>
    </row>
    <row r="384" spans="1:12" x14ac:dyDescent="0.25">
      <c r="A384" s="3">
        <v>42020</v>
      </c>
      <c r="B384" s="3" t="str">
        <f t="shared" si="42"/>
        <v>Jan</v>
      </c>
      <c r="C384" s="3" t="str">
        <f t="shared" si="43"/>
        <v>2015</v>
      </c>
      <c r="D384" s="3" t="str">
        <f t="shared" si="44"/>
        <v>Friday</v>
      </c>
      <c r="E384">
        <v>149444.05679999999</v>
      </c>
      <c r="F384">
        <v>152030.9865</v>
      </c>
      <c r="G384">
        <v>3629</v>
      </c>
      <c r="H384" s="1">
        <f t="shared" si="45"/>
        <v>41.180506144943507</v>
      </c>
      <c r="I384" s="1" t="str">
        <f t="shared" si="46"/>
        <v>High</v>
      </c>
      <c r="J384">
        <f t="shared" si="47"/>
        <v>-1.7310355161611273</v>
      </c>
      <c r="K384">
        <f t="shared" si="48"/>
        <v>41.893355332047399</v>
      </c>
      <c r="L384">
        <f t="shared" si="49"/>
        <v>-1.7310355161611377</v>
      </c>
    </row>
    <row r="385" spans="1:12" x14ac:dyDescent="0.25">
      <c r="A385" s="3">
        <v>42021</v>
      </c>
      <c r="B385" s="3" t="str">
        <f t="shared" si="42"/>
        <v>Jan</v>
      </c>
      <c r="C385" s="3" t="str">
        <f t="shared" si="43"/>
        <v>2015</v>
      </c>
      <c r="D385" s="3" t="str">
        <f t="shared" si="44"/>
        <v>Saturday</v>
      </c>
      <c r="E385">
        <v>170624.07990000001</v>
      </c>
      <c r="F385">
        <v>173547.02710000001</v>
      </c>
      <c r="G385">
        <v>4144</v>
      </c>
      <c r="H385" s="1">
        <f t="shared" si="45"/>
        <v>41.173764454633208</v>
      </c>
      <c r="I385" s="1" t="str">
        <f t="shared" si="46"/>
        <v>High</v>
      </c>
      <c r="J385">
        <f t="shared" si="47"/>
        <v>-1.7130918459534474</v>
      </c>
      <c r="K385">
        <f t="shared" si="48"/>
        <v>41.879108856177609</v>
      </c>
      <c r="L385">
        <f t="shared" si="49"/>
        <v>-1.7130918459534499</v>
      </c>
    </row>
    <row r="386" spans="1:12" x14ac:dyDescent="0.25">
      <c r="A386" s="3">
        <v>42022</v>
      </c>
      <c r="B386" s="3" t="str">
        <f t="shared" si="42"/>
        <v>Jan</v>
      </c>
      <c r="C386" s="3" t="str">
        <f t="shared" si="43"/>
        <v>2015</v>
      </c>
      <c r="D386" s="3" t="str">
        <f t="shared" si="44"/>
        <v>Sunday</v>
      </c>
      <c r="E386">
        <v>74744.283150000003</v>
      </c>
      <c r="F386">
        <v>76003.928249999997</v>
      </c>
      <c r="G386">
        <v>1815</v>
      </c>
      <c r="H386" s="1">
        <f t="shared" si="45"/>
        <v>41.181423223140499</v>
      </c>
      <c r="I386" s="1" t="str">
        <f t="shared" si="46"/>
        <v>High</v>
      </c>
      <c r="J386">
        <f t="shared" si="47"/>
        <v>-1.6852728354783804</v>
      </c>
      <c r="K386">
        <f t="shared" si="48"/>
        <v>41.875442561983469</v>
      </c>
      <c r="L386">
        <f t="shared" si="49"/>
        <v>-1.6852728354783766</v>
      </c>
    </row>
    <row r="387" spans="1:12" x14ac:dyDescent="0.25">
      <c r="A387" s="3">
        <v>42023</v>
      </c>
      <c r="B387" s="3" t="str">
        <f t="shared" ref="B387:B450" si="50">TEXT(A387,"mmm")</f>
        <v>Jan</v>
      </c>
      <c r="C387" s="3" t="str">
        <f t="shared" ref="C387:C450" si="51">TEXT(A387,"yyyy")</f>
        <v>2015</v>
      </c>
      <c r="D387" s="3" t="str">
        <f t="shared" ref="D387:D450" si="52">TEXT(A387,"dddd")</f>
        <v>Monday</v>
      </c>
      <c r="E387">
        <v>90144.161399999997</v>
      </c>
      <c r="F387">
        <v>91110.969349999999</v>
      </c>
      <c r="G387">
        <v>2189</v>
      </c>
      <c r="H387" s="1">
        <f t="shared" ref="H387:H450" si="53">E387/G387</f>
        <v>41.180521425308356</v>
      </c>
      <c r="I387" s="1" t="str">
        <f t="shared" ref="I387:I450" si="54">IF(H387&lt;PERCENTILE(H387:H1439,0.33),"Low", IF(H387&gt;PERCENTILE(H387:H1439,0.67),"High","Medium"))</f>
        <v>High</v>
      </c>
      <c r="J387">
        <f t="shared" ref="J387:J450" si="55">(E387-F387)/E387 *100</f>
        <v>-1.0725131112041186</v>
      </c>
      <c r="K387">
        <f t="shared" ref="K387:K450" si="56">F387/G387</f>
        <v>41.622187916857015</v>
      </c>
      <c r="L387">
        <f t="shared" ref="L387:L450" si="57">(H387-K387)/H387 *100</f>
        <v>-1.0725131112041331</v>
      </c>
    </row>
    <row r="388" spans="1:12" x14ac:dyDescent="0.25">
      <c r="A388" s="3">
        <v>42024</v>
      </c>
      <c r="B388" s="3" t="str">
        <f t="shared" si="50"/>
        <v>Jan</v>
      </c>
      <c r="C388" s="3" t="str">
        <f t="shared" si="51"/>
        <v>2015</v>
      </c>
      <c r="D388" s="3" t="str">
        <f t="shared" si="52"/>
        <v>Tuesday</v>
      </c>
      <c r="E388">
        <v>97826.808799999999</v>
      </c>
      <c r="F388">
        <v>99134.306989999997</v>
      </c>
      <c r="G388">
        <v>2376</v>
      </c>
      <c r="H388" s="1">
        <f t="shared" si="53"/>
        <v>41.172899326599328</v>
      </c>
      <c r="I388" s="1" t="str">
        <f t="shared" si="54"/>
        <v>High</v>
      </c>
      <c r="J388">
        <f t="shared" si="55"/>
        <v>-1.3365438431842198</v>
      </c>
      <c r="K388">
        <f t="shared" si="56"/>
        <v>41.723193177609424</v>
      </c>
      <c r="L388">
        <f t="shared" si="57"/>
        <v>-1.3365438431842094</v>
      </c>
    </row>
    <row r="389" spans="1:12" x14ac:dyDescent="0.25">
      <c r="A389" s="3">
        <v>42025</v>
      </c>
      <c r="B389" s="3" t="str">
        <f t="shared" si="50"/>
        <v>Jan</v>
      </c>
      <c r="C389" s="3" t="str">
        <f t="shared" si="51"/>
        <v>2015</v>
      </c>
      <c r="D389" s="3" t="str">
        <f t="shared" si="52"/>
        <v>Wednesday</v>
      </c>
      <c r="E389">
        <v>62795.979149999999</v>
      </c>
      <c r="F389">
        <v>64144.088880000003</v>
      </c>
      <c r="G389">
        <v>1525</v>
      </c>
      <c r="H389" s="1">
        <f t="shared" si="53"/>
        <v>41.177691245901642</v>
      </c>
      <c r="I389" s="1" t="str">
        <f t="shared" si="54"/>
        <v>High</v>
      </c>
      <c r="J389">
        <f t="shared" si="55"/>
        <v>-2.1468089967667998</v>
      </c>
      <c r="K389">
        <f t="shared" si="56"/>
        <v>42.06169762622951</v>
      </c>
      <c r="L389">
        <f t="shared" si="57"/>
        <v>-2.1468089967667923</v>
      </c>
    </row>
    <row r="390" spans="1:12" x14ac:dyDescent="0.25">
      <c r="A390" s="3">
        <v>42026</v>
      </c>
      <c r="B390" s="3" t="str">
        <f t="shared" si="50"/>
        <v>Jan</v>
      </c>
      <c r="C390" s="3" t="str">
        <f t="shared" si="51"/>
        <v>2015</v>
      </c>
      <c r="D390" s="3" t="str">
        <f t="shared" si="52"/>
        <v>Thursday</v>
      </c>
      <c r="E390">
        <v>66550.989830000006</v>
      </c>
      <c r="F390">
        <v>67952.150550000006</v>
      </c>
      <c r="G390">
        <v>1616</v>
      </c>
      <c r="H390" s="1">
        <f t="shared" si="53"/>
        <v>41.182543211633664</v>
      </c>
      <c r="I390" s="1" t="str">
        <f t="shared" si="54"/>
        <v>High</v>
      </c>
      <c r="J390">
        <f t="shared" si="55"/>
        <v>-2.1053942602193745</v>
      </c>
      <c r="K390">
        <f t="shared" si="56"/>
        <v>42.049598112623769</v>
      </c>
      <c r="L390">
        <f t="shared" si="57"/>
        <v>-2.1053942602193896</v>
      </c>
    </row>
    <row r="391" spans="1:12" x14ac:dyDescent="0.25">
      <c r="A391" s="3">
        <v>42027</v>
      </c>
      <c r="B391" s="3" t="str">
        <f t="shared" si="50"/>
        <v>Jan</v>
      </c>
      <c r="C391" s="3" t="str">
        <f t="shared" si="51"/>
        <v>2015</v>
      </c>
      <c r="D391" s="3" t="str">
        <f t="shared" si="52"/>
        <v>Friday</v>
      </c>
      <c r="E391">
        <v>154670.89069999999</v>
      </c>
      <c r="F391">
        <v>158031.791</v>
      </c>
      <c r="G391">
        <v>3757</v>
      </c>
      <c r="H391" s="1">
        <f t="shared" si="53"/>
        <v>41.168722571200426</v>
      </c>
      <c r="I391" s="1" t="str">
        <f t="shared" si="54"/>
        <v>High</v>
      </c>
      <c r="J391">
        <f t="shared" si="55"/>
        <v>-2.1729365395062077</v>
      </c>
      <c r="K391">
        <f t="shared" si="56"/>
        <v>42.063292786797973</v>
      </c>
      <c r="L391">
        <f t="shared" si="57"/>
        <v>-2.1729365395061913</v>
      </c>
    </row>
    <row r="392" spans="1:12" x14ac:dyDescent="0.25">
      <c r="A392" s="3">
        <v>42028</v>
      </c>
      <c r="B392" s="3" t="str">
        <f t="shared" si="50"/>
        <v>Jan</v>
      </c>
      <c r="C392" s="3" t="str">
        <f t="shared" si="51"/>
        <v>2015</v>
      </c>
      <c r="D392" s="3" t="str">
        <f t="shared" si="52"/>
        <v>Saturday</v>
      </c>
      <c r="E392">
        <v>158722.10560000001</v>
      </c>
      <c r="F392">
        <v>162082.4184</v>
      </c>
      <c r="G392">
        <v>3855</v>
      </c>
      <c r="H392" s="1">
        <f t="shared" si="53"/>
        <v>41.173049442282753</v>
      </c>
      <c r="I392" s="1" t="str">
        <f t="shared" si="54"/>
        <v>High</v>
      </c>
      <c r="J392">
        <f t="shared" si="55"/>
        <v>-2.1171044747027254</v>
      </c>
      <c r="K392">
        <f t="shared" si="56"/>
        <v>42.044725914396885</v>
      </c>
      <c r="L392">
        <f t="shared" si="57"/>
        <v>-2.1171044747027206</v>
      </c>
    </row>
    <row r="393" spans="1:12" x14ac:dyDescent="0.25">
      <c r="A393" s="3">
        <v>42029</v>
      </c>
      <c r="B393" s="3" t="str">
        <f t="shared" si="50"/>
        <v>Jan</v>
      </c>
      <c r="C393" s="3" t="str">
        <f t="shared" si="51"/>
        <v>2015</v>
      </c>
      <c r="D393" s="3" t="str">
        <f t="shared" si="52"/>
        <v>Sunday</v>
      </c>
      <c r="E393">
        <v>78092.276920000004</v>
      </c>
      <c r="F393">
        <v>79795.043099999995</v>
      </c>
      <c r="G393">
        <v>1897</v>
      </c>
      <c r="H393" s="1">
        <f t="shared" si="53"/>
        <v>41.166197638376389</v>
      </c>
      <c r="I393" s="1" t="str">
        <f t="shared" si="54"/>
        <v>High</v>
      </c>
      <c r="J393">
        <f t="shared" si="55"/>
        <v>-2.1804540053869279</v>
      </c>
      <c r="K393">
        <f t="shared" si="56"/>
        <v>42.063807643647863</v>
      </c>
      <c r="L393">
        <f t="shared" si="57"/>
        <v>-2.1804540053869212</v>
      </c>
    </row>
    <row r="394" spans="1:12" x14ac:dyDescent="0.25">
      <c r="A394" s="3">
        <v>42030</v>
      </c>
      <c r="B394" s="3" t="str">
        <f t="shared" si="50"/>
        <v>Jan</v>
      </c>
      <c r="C394" s="3" t="str">
        <f t="shared" si="51"/>
        <v>2015</v>
      </c>
      <c r="D394" s="3" t="str">
        <f t="shared" si="52"/>
        <v>Monday</v>
      </c>
      <c r="E394">
        <v>91830.402040000001</v>
      </c>
      <c r="F394">
        <v>93808.086750000002</v>
      </c>
      <c r="G394">
        <v>2230</v>
      </c>
      <c r="H394" s="1">
        <f t="shared" si="53"/>
        <v>41.179552484304935</v>
      </c>
      <c r="I394" s="1" t="str">
        <f t="shared" si="54"/>
        <v>High</v>
      </c>
      <c r="J394">
        <f t="shared" si="55"/>
        <v>-2.153627411038177</v>
      </c>
      <c r="K394">
        <f t="shared" si="56"/>
        <v>42.066406614349773</v>
      </c>
      <c r="L394">
        <f t="shared" si="57"/>
        <v>-2.1536274110381641</v>
      </c>
    </row>
    <row r="395" spans="1:12" x14ac:dyDescent="0.25">
      <c r="A395" s="3">
        <v>42031</v>
      </c>
      <c r="B395" s="3" t="str">
        <f t="shared" si="50"/>
        <v>Jan</v>
      </c>
      <c r="C395" s="3" t="str">
        <f t="shared" si="51"/>
        <v>2015</v>
      </c>
      <c r="D395" s="3" t="str">
        <f t="shared" si="52"/>
        <v>Tuesday</v>
      </c>
      <c r="E395">
        <v>76992.935679999995</v>
      </c>
      <c r="F395">
        <v>78614.457750000001</v>
      </c>
      <c r="G395">
        <v>1870</v>
      </c>
      <c r="H395" s="1">
        <f t="shared" si="53"/>
        <v>41.172692877005346</v>
      </c>
      <c r="I395" s="1" t="str">
        <f t="shared" si="54"/>
        <v>High</v>
      </c>
      <c r="J395">
        <f t="shared" si="55"/>
        <v>-2.1060660379796632</v>
      </c>
      <c r="K395">
        <f t="shared" si="56"/>
        <v>42.039816978609629</v>
      </c>
      <c r="L395">
        <f t="shared" si="57"/>
        <v>-2.1060660379796663</v>
      </c>
    </row>
    <row r="396" spans="1:12" x14ac:dyDescent="0.25">
      <c r="A396" s="3">
        <v>42032</v>
      </c>
      <c r="B396" s="3" t="str">
        <f t="shared" si="50"/>
        <v>Jan</v>
      </c>
      <c r="C396" s="3" t="str">
        <f t="shared" si="51"/>
        <v>2015</v>
      </c>
      <c r="D396" s="3" t="str">
        <f t="shared" si="52"/>
        <v>Wednesday</v>
      </c>
      <c r="E396">
        <v>59897.715880000003</v>
      </c>
      <c r="F396">
        <v>61194.180260000001</v>
      </c>
      <c r="G396">
        <v>1455</v>
      </c>
      <c r="H396" s="1">
        <f t="shared" si="53"/>
        <v>41.166815037800689</v>
      </c>
      <c r="I396" s="1" t="str">
        <f t="shared" si="54"/>
        <v>High</v>
      </c>
      <c r="J396">
        <f t="shared" si="55"/>
        <v>-2.1644638045920721</v>
      </c>
      <c r="K396">
        <f t="shared" si="56"/>
        <v>42.057855848797253</v>
      </c>
      <c r="L396">
        <f t="shared" si="57"/>
        <v>-2.1644638045920779</v>
      </c>
    </row>
    <row r="397" spans="1:12" x14ac:dyDescent="0.25">
      <c r="A397" s="3">
        <v>42033</v>
      </c>
      <c r="B397" s="3" t="str">
        <f t="shared" si="50"/>
        <v>Jan</v>
      </c>
      <c r="C397" s="3" t="str">
        <f t="shared" si="51"/>
        <v>2015</v>
      </c>
      <c r="D397" s="3" t="str">
        <f t="shared" si="52"/>
        <v>Thursday</v>
      </c>
      <c r="E397">
        <v>57310.194040000002</v>
      </c>
      <c r="F397">
        <v>58531.410989999997</v>
      </c>
      <c r="G397">
        <v>1392</v>
      </c>
      <c r="H397" s="1">
        <f t="shared" si="53"/>
        <v>41.171116408045975</v>
      </c>
      <c r="I397" s="1" t="str">
        <f t="shared" si="54"/>
        <v>High</v>
      </c>
      <c r="J397">
        <f t="shared" si="55"/>
        <v>-2.1308895746324619</v>
      </c>
      <c r="K397">
        <f t="shared" si="56"/>
        <v>42.048427435344827</v>
      </c>
      <c r="L397">
        <f t="shared" si="57"/>
        <v>-2.1308895746324747</v>
      </c>
    </row>
    <row r="398" spans="1:12" x14ac:dyDescent="0.25">
      <c r="A398" s="3">
        <v>42034</v>
      </c>
      <c r="B398" s="3" t="str">
        <f t="shared" si="50"/>
        <v>Jan</v>
      </c>
      <c r="C398" s="3" t="str">
        <f t="shared" si="51"/>
        <v>2015</v>
      </c>
      <c r="D398" s="3" t="str">
        <f t="shared" si="52"/>
        <v>Friday</v>
      </c>
      <c r="E398">
        <v>134540.2145</v>
      </c>
      <c r="F398">
        <v>137221.53750000001</v>
      </c>
      <c r="G398">
        <v>3268</v>
      </c>
      <c r="H398" s="1">
        <f t="shared" si="53"/>
        <v>41.168976285189721</v>
      </c>
      <c r="I398" s="1" t="str">
        <f t="shared" si="54"/>
        <v>High</v>
      </c>
      <c r="J398">
        <f t="shared" si="55"/>
        <v>-1.9929528208088327</v>
      </c>
      <c r="K398">
        <f t="shared" si="56"/>
        <v>41.98945455936353</v>
      </c>
      <c r="L398">
        <f t="shared" si="57"/>
        <v>-1.9929528208088343</v>
      </c>
    </row>
    <row r="399" spans="1:12" x14ac:dyDescent="0.25">
      <c r="A399" s="3">
        <v>42035</v>
      </c>
      <c r="B399" s="3" t="str">
        <f t="shared" si="50"/>
        <v>Jan</v>
      </c>
      <c r="C399" s="3" t="str">
        <f t="shared" si="51"/>
        <v>2015</v>
      </c>
      <c r="D399" s="3" t="str">
        <f t="shared" si="52"/>
        <v>Saturday</v>
      </c>
      <c r="E399">
        <v>200193.61199999999</v>
      </c>
      <c r="F399">
        <v>203814.73639999999</v>
      </c>
      <c r="G399">
        <v>4862</v>
      </c>
      <c r="H399" s="1">
        <f t="shared" si="53"/>
        <v>41.175156725627311</v>
      </c>
      <c r="I399" s="1" t="str">
        <f t="shared" si="54"/>
        <v>High</v>
      </c>
      <c r="J399">
        <f t="shared" si="55"/>
        <v>-1.8088111622662568</v>
      </c>
      <c r="K399">
        <f t="shared" si="56"/>
        <v>41.919937556561088</v>
      </c>
      <c r="L399">
        <f t="shared" si="57"/>
        <v>-1.8088111622662693</v>
      </c>
    </row>
    <row r="400" spans="1:12" x14ac:dyDescent="0.25">
      <c r="A400" s="3">
        <v>42036</v>
      </c>
      <c r="B400" s="3" t="str">
        <f t="shared" si="50"/>
        <v>Feb</v>
      </c>
      <c r="C400" s="3" t="str">
        <f t="shared" si="51"/>
        <v>2015</v>
      </c>
      <c r="D400" s="3" t="str">
        <f t="shared" si="52"/>
        <v>Sunday</v>
      </c>
      <c r="E400">
        <v>171469.93049999999</v>
      </c>
      <c r="F400">
        <v>174652.45800000001</v>
      </c>
      <c r="G400">
        <v>4165</v>
      </c>
      <c r="H400" s="1">
        <f t="shared" si="53"/>
        <v>41.169251020408161</v>
      </c>
      <c r="I400" s="1" t="str">
        <f t="shared" si="54"/>
        <v>High</v>
      </c>
      <c r="J400">
        <f t="shared" si="55"/>
        <v>-1.8560265877054321</v>
      </c>
      <c r="K400">
        <f t="shared" si="56"/>
        <v>41.933363265306127</v>
      </c>
      <c r="L400">
        <f t="shared" si="57"/>
        <v>-1.8560265877054332</v>
      </c>
    </row>
    <row r="401" spans="1:12" x14ac:dyDescent="0.25">
      <c r="A401" s="3">
        <v>42037</v>
      </c>
      <c r="B401" s="3" t="str">
        <f t="shared" si="50"/>
        <v>Feb</v>
      </c>
      <c r="C401" s="3" t="str">
        <f t="shared" si="51"/>
        <v>2015</v>
      </c>
      <c r="D401" s="3" t="str">
        <f t="shared" si="52"/>
        <v>Monday</v>
      </c>
      <c r="E401">
        <v>151737.2188</v>
      </c>
      <c r="F401">
        <v>154148.59880000001</v>
      </c>
      <c r="G401">
        <v>3685</v>
      </c>
      <c r="H401" s="1">
        <f t="shared" si="53"/>
        <v>41.176992890094979</v>
      </c>
      <c r="I401" s="1" t="str">
        <f t="shared" si="54"/>
        <v>High</v>
      </c>
      <c r="J401">
        <f t="shared" si="55"/>
        <v>-1.5891816253587512</v>
      </c>
      <c r="K401">
        <f t="shared" si="56"/>
        <v>41.831370094979647</v>
      </c>
      <c r="L401">
        <f t="shared" si="57"/>
        <v>-1.5891816253587483</v>
      </c>
    </row>
    <row r="402" spans="1:12" x14ac:dyDescent="0.25">
      <c r="A402" s="3">
        <v>42038</v>
      </c>
      <c r="B402" s="3" t="str">
        <f t="shared" si="50"/>
        <v>Feb</v>
      </c>
      <c r="C402" s="3" t="str">
        <f t="shared" si="51"/>
        <v>2015</v>
      </c>
      <c r="D402" s="3" t="str">
        <f t="shared" si="52"/>
        <v>Tuesday</v>
      </c>
      <c r="E402">
        <v>102072.4434</v>
      </c>
      <c r="F402">
        <v>103634.9642</v>
      </c>
      <c r="G402">
        <v>2479</v>
      </c>
      <c r="H402" s="1">
        <f t="shared" si="53"/>
        <v>41.174846066962488</v>
      </c>
      <c r="I402" s="1" t="str">
        <f t="shared" si="54"/>
        <v>High</v>
      </c>
      <c r="J402">
        <f t="shared" si="55"/>
        <v>-1.5307959209684192</v>
      </c>
      <c r="K402">
        <f t="shared" si="56"/>
        <v>41.805148931020575</v>
      </c>
      <c r="L402">
        <f t="shared" si="57"/>
        <v>-1.5307959209684201</v>
      </c>
    </row>
    <row r="403" spans="1:12" x14ac:dyDescent="0.25">
      <c r="A403" s="3">
        <v>42039</v>
      </c>
      <c r="B403" s="3" t="str">
        <f t="shared" si="50"/>
        <v>Feb</v>
      </c>
      <c r="C403" s="3" t="str">
        <f t="shared" si="51"/>
        <v>2015</v>
      </c>
      <c r="D403" s="3" t="str">
        <f t="shared" si="52"/>
        <v>Wednesday</v>
      </c>
      <c r="E403">
        <v>82514.105119999993</v>
      </c>
      <c r="F403">
        <v>83232.391369999998</v>
      </c>
      <c r="G403">
        <v>2005</v>
      </c>
      <c r="H403" s="1">
        <f t="shared" si="53"/>
        <v>41.154167142144637</v>
      </c>
      <c r="I403" s="1" t="str">
        <f t="shared" si="54"/>
        <v>High</v>
      </c>
      <c r="J403">
        <f t="shared" si="55"/>
        <v>-0.87050116941267597</v>
      </c>
      <c r="K403">
        <f t="shared" si="56"/>
        <v>41.51241464837905</v>
      </c>
      <c r="L403">
        <f t="shared" si="57"/>
        <v>-0.87050116941266797</v>
      </c>
    </row>
    <row r="404" spans="1:12" x14ac:dyDescent="0.25">
      <c r="A404" s="3">
        <v>42040</v>
      </c>
      <c r="B404" s="3" t="str">
        <f t="shared" si="50"/>
        <v>Feb</v>
      </c>
      <c r="C404" s="3" t="str">
        <f t="shared" si="51"/>
        <v>2015</v>
      </c>
      <c r="D404" s="3" t="str">
        <f t="shared" si="52"/>
        <v>Thursday</v>
      </c>
      <c r="E404">
        <v>46211.332459999998</v>
      </c>
      <c r="F404">
        <v>46407.299120000003</v>
      </c>
      <c r="G404">
        <v>1122</v>
      </c>
      <c r="H404" s="1">
        <f t="shared" si="53"/>
        <v>41.186570819964345</v>
      </c>
      <c r="I404" s="1" t="str">
        <f t="shared" si="54"/>
        <v>High</v>
      </c>
      <c r="J404">
        <f t="shared" si="55"/>
        <v>-0.42406623996317794</v>
      </c>
      <c r="K404">
        <f t="shared" si="56"/>
        <v>41.361229162210343</v>
      </c>
      <c r="L404">
        <f t="shared" si="57"/>
        <v>-0.42406623996318649</v>
      </c>
    </row>
    <row r="405" spans="1:12" x14ac:dyDescent="0.25">
      <c r="A405" s="3">
        <v>42041</v>
      </c>
      <c r="B405" s="3" t="str">
        <f t="shared" si="50"/>
        <v>Feb</v>
      </c>
      <c r="C405" s="3" t="str">
        <f t="shared" si="51"/>
        <v>2015</v>
      </c>
      <c r="D405" s="3" t="str">
        <f t="shared" si="52"/>
        <v>Friday</v>
      </c>
      <c r="E405">
        <v>85730.414810000002</v>
      </c>
      <c r="F405">
        <v>85765.709340000001</v>
      </c>
      <c r="G405">
        <v>2082</v>
      </c>
      <c r="H405" s="1">
        <f t="shared" si="53"/>
        <v>41.176952358309322</v>
      </c>
      <c r="I405" s="1" t="str">
        <f t="shared" si="54"/>
        <v>High</v>
      </c>
      <c r="J405">
        <f t="shared" si="55"/>
        <v>-4.1169204742821666E-2</v>
      </c>
      <c r="K405">
        <f t="shared" si="56"/>
        <v>41.193904582132568</v>
      </c>
      <c r="L405">
        <f t="shared" si="57"/>
        <v>-4.1169204742820494E-2</v>
      </c>
    </row>
    <row r="406" spans="1:12" x14ac:dyDescent="0.25">
      <c r="A406" s="3">
        <v>42042</v>
      </c>
      <c r="B406" s="3" t="str">
        <f t="shared" si="50"/>
        <v>Feb</v>
      </c>
      <c r="C406" s="3" t="str">
        <f t="shared" si="51"/>
        <v>2015</v>
      </c>
      <c r="D406" s="3" t="str">
        <f t="shared" si="52"/>
        <v>Saturday</v>
      </c>
      <c r="E406">
        <v>105918.2933</v>
      </c>
      <c r="F406">
        <v>105662.55620000001</v>
      </c>
      <c r="G406">
        <v>2573</v>
      </c>
      <c r="H406" s="1">
        <f t="shared" si="53"/>
        <v>41.165290827827441</v>
      </c>
      <c r="I406" s="1" t="str">
        <f t="shared" si="54"/>
        <v>High</v>
      </c>
      <c r="J406">
        <f t="shared" si="55"/>
        <v>0.24144752717611853</v>
      </c>
      <c r="K406">
        <f t="shared" si="56"/>
        <v>41.065898251068795</v>
      </c>
      <c r="L406">
        <f t="shared" si="57"/>
        <v>0.24144752717611662</v>
      </c>
    </row>
    <row r="407" spans="1:12" x14ac:dyDescent="0.25">
      <c r="A407" s="3">
        <v>42043</v>
      </c>
      <c r="B407" s="3" t="str">
        <f t="shared" si="50"/>
        <v>Feb</v>
      </c>
      <c r="C407" s="3" t="str">
        <f t="shared" si="51"/>
        <v>2015</v>
      </c>
      <c r="D407" s="3" t="str">
        <f t="shared" si="52"/>
        <v>Sunday</v>
      </c>
      <c r="E407">
        <v>73041.660870000007</v>
      </c>
      <c r="F407">
        <v>73046.233900000007</v>
      </c>
      <c r="G407">
        <v>1774</v>
      </c>
      <c r="H407" s="1">
        <f t="shared" si="53"/>
        <v>41.173427773393463</v>
      </c>
      <c r="I407" s="1" t="str">
        <f t="shared" si="54"/>
        <v>High</v>
      </c>
      <c r="J407">
        <f t="shared" si="55"/>
        <v>-6.2608516092462208E-3</v>
      </c>
      <c r="K407">
        <f t="shared" si="56"/>
        <v>41.176005580608795</v>
      </c>
      <c r="L407">
        <f t="shared" si="57"/>
        <v>-6.2608516092442362E-3</v>
      </c>
    </row>
    <row r="408" spans="1:12" x14ac:dyDescent="0.25">
      <c r="A408" s="3">
        <v>42044</v>
      </c>
      <c r="B408" s="3" t="str">
        <f t="shared" si="50"/>
        <v>Feb</v>
      </c>
      <c r="C408" s="3" t="str">
        <f t="shared" si="51"/>
        <v>2015</v>
      </c>
      <c r="D408" s="3" t="str">
        <f t="shared" si="52"/>
        <v>Monday</v>
      </c>
      <c r="E408">
        <v>97908.547099999996</v>
      </c>
      <c r="F408">
        <v>97097.936589999998</v>
      </c>
      <c r="G408">
        <v>2378</v>
      </c>
      <c r="H408" s="1">
        <f t="shared" si="53"/>
        <v>41.172643860386877</v>
      </c>
      <c r="I408" s="1" t="str">
        <f t="shared" si="54"/>
        <v>High</v>
      </c>
      <c r="J408">
        <f t="shared" si="55"/>
        <v>0.82792619644541599</v>
      </c>
      <c r="K408">
        <f t="shared" si="56"/>
        <v>40.831764756097563</v>
      </c>
      <c r="L408">
        <f t="shared" si="57"/>
        <v>0.82792619644540644</v>
      </c>
    </row>
    <row r="409" spans="1:12" x14ac:dyDescent="0.25">
      <c r="A409" s="3">
        <v>42045</v>
      </c>
      <c r="B409" s="3" t="str">
        <f t="shared" si="50"/>
        <v>Feb</v>
      </c>
      <c r="C409" s="3" t="str">
        <f t="shared" si="51"/>
        <v>2015</v>
      </c>
      <c r="D409" s="3" t="str">
        <f t="shared" si="52"/>
        <v>Tuesday</v>
      </c>
      <c r="E409">
        <v>138667.41589999999</v>
      </c>
      <c r="F409">
        <v>148522.84899999999</v>
      </c>
      <c r="G409">
        <v>3677</v>
      </c>
      <c r="H409" s="1">
        <f t="shared" si="53"/>
        <v>37.712106581452268</v>
      </c>
      <c r="I409" s="1" t="str">
        <f t="shared" si="54"/>
        <v>Medium</v>
      </c>
      <c r="J409">
        <f t="shared" si="55"/>
        <v>-7.1072450842433241</v>
      </c>
      <c r="K409">
        <f t="shared" si="56"/>
        <v>40.392398422627139</v>
      </c>
      <c r="L409">
        <f t="shared" si="57"/>
        <v>-7.1072450842433268</v>
      </c>
    </row>
    <row r="410" spans="1:12" x14ac:dyDescent="0.25">
      <c r="A410" s="3">
        <v>42046</v>
      </c>
      <c r="B410" s="3" t="str">
        <f t="shared" si="50"/>
        <v>Feb</v>
      </c>
      <c r="C410" s="3" t="str">
        <f t="shared" si="51"/>
        <v>2015</v>
      </c>
      <c r="D410" s="3" t="str">
        <f t="shared" si="52"/>
        <v>Wednesday</v>
      </c>
      <c r="E410">
        <v>162162.1035</v>
      </c>
      <c r="F410">
        <v>173661.8278</v>
      </c>
      <c r="G410">
        <v>4299</v>
      </c>
      <c r="H410" s="1">
        <f t="shared" si="53"/>
        <v>37.720889392882064</v>
      </c>
      <c r="I410" s="1" t="str">
        <f t="shared" si="54"/>
        <v>Medium</v>
      </c>
      <c r="J410">
        <f t="shared" si="55"/>
        <v>-7.0914992170165103</v>
      </c>
      <c r="K410">
        <f t="shared" si="56"/>
        <v>40.395865968829959</v>
      </c>
      <c r="L410">
        <f t="shared" si="57"/>
        <v>-7.0914992170165085</v>
      </c>
    </row>
    <row r="411" spans="1:12" x14ac:dyDescent="0.25">
      <c r="A411" s="3">
        <v>42047</v>
      </c>
      <c r="B411" s="3" t="str">
        <f t="shared" si="50"/>
        <v>Feb</v>
      </c>
      <c r="C411" s="3" t="str">
        <f t="shared" si="51"/>
        <v>2015</v>
      </c>
      <c r="D411" s="3" t="str">
        <f t="shared" si="52"/>
        <v>Thursday</v>
      </c>
      <c r="E411">
        <v>138520.1268</v>
      </c>
      <c r="F411">
        <v>147756.34280000001</v>
      </c>
      <c r="G411">
        <v>3674</v>
      </c>
      <c r="H411" s="1">
        <f t="shared" si="53"/>
        <v>37.702810778443116</v>
      </c>
      <c r="I411" s="1" t="str">
        <f t="shared" si="54"/>
        <v>Medium</v>
      </c>
      <c r="J411">
        <f t="shared" si="55"/>
        <v>-6.6677790537512092</v>
      </c>
      <c r="K411">
        <f t="shared" si="56"/>
        <v>40.2167508982036</v>
      </c>
      <c r="L411">
        <f t="shared" si="57"/>
        <v>-6.6677790537512109</v>
      </c>
    </row>
    <row r="412" spans="1:12" x14ac:dyDescent="0.25">
      <c r="A412" s="3">
        <v>42048</v>
      </c>
      <c r="B412" s="3" t="str">
        <f t="shared" si="50"/>
        <v>Feb</v>
      </c>
      <c r="C412" s="3" t="str">
        <f t="shared" si="51"/>
        <v>2015</v>
      </c>
      <c r="D412" s="3" t="str">
        <f t="shared" si="52"/>
        <v>Friday</v>
      </c>
      <c r="E412">
        <v>358597.42849999998</v>
      </c>
      <c r="F412">
        <v>382447.08039999998</v>
      </c>
      <c r="G412">
        <v>9505</v>
      </c>
      <c r="H412" s="1">
        <f t="shared" si="53"/>
        <v>37.727241294055759</v>
      </c>
      <c r="I412" s="1" t="str">
        <f t="shared" si="54"/>
        <v>Medium</v>
      </c>
      <c r="J412">
        <f t="shared" si="55"/>
        <v>-6.6508150936168793</v>
      </c>
      <c r="K412">
        <f t="shared" si="56"/>
        <v>40.236410352446079</v>
      </c>
      <c r="L412">
        <f t="shared" si="57"/>
        <v>-6.6508150936168784</v>
      </c>
    </row>
    <row r="413" spans="1:12" x14ac:dyDescent="0.25">
      <c r="A413" s="3">
        <v>42049</v>
      </c>
      <c r="B413" s="3" t="str">
        <f t="shared" si="50"/>
        <v>Feb</v>
      </c>
      <c r="C413" s="3" t="str">
        <f t="shared" si="51"/>
        <v>2015</v>
      </c>
      <c r="D413" s="3" t="str">
        <f t="shared" si="52"/>
        <v>Saturday</v>
      </c>
      <c r="E413">
        <v>424009.88250000001</v>
      </c>
      <c r="F413">
        <v>451548.02759999997</v>
      </c>
      <c r="G413">
        <v>11237</v>
      </c>
      <c r="H413" s="1">
        <f t="shared" si="53"/>
        <v>37.733370339058467</v>
      </c>
      <c r="I413" s="1" t="str">
        <f t="shared" si="54"/>
        <v>Medium</v>
      </c>
      <c r="J413">
        <f t="shared" si="55"/>
        <v>-6.4946941655304373</v>
      </c>
      <c r="K413">
        <f t="shared" si="56"/>
        <v>40.18403734092729</v>
      </c>
      <c r="L413">
        <f t="shared" si="57"/>
        <v>-6.4946941655304364</v>
      </c>
    </row>
    <row r="414" spans="1:12" x14ac:dyDescent="0.25">
      <c r="A414" s="3">
        <v>42050</v>
      </c>
      <c r="B414" s="3" t="str">
        <f t="shared" si="50"/>
        <v>Feb</v>
      </c>
      <c r="C414" s="3" t="str">
        <f t="shared" si="51"/>
        <v>2015</v>
      </c>
      <c r="D414" s="3" t="str">
        <f t="shared" si="52"/>
        <v>Sunday</v>
      </c>
      <c r="E414">
        <v>203861.4724</v>
      </c>
      <c r="F414">
        <v>217065.6152</v>
      </c>
      <c r="G414">
        <v>5406</v>
      </c>
      <c r="H414" s="1">
        <f t="shared" si="53"/>
        <v>37.710224269330375</v>
      </c>
      <c r="I414" s="1" t="str">
        <f t="shared" si="54"/>
        <v>Medium</v>
      </c>
      <c r="J414">
        <f t="shared" si="55"/>
        <v>-6.4770172826437422</v>
      </c>
      <c r="K414">
        <f t="shared" si="56"/>
        <v>40.152722012578614</v>
      </c>
      <c r="L414">
        <f t="shared" si="57"/>
        <v>-6.4770172826437324</v>
      </c>
    </row>
    <row r="415" spans="1:12" x14ac:dyDescent="0.25">
      <c r="A415" s="3">
        <v>42051</v>
      </c>
      <c r="B415" s="3" t="str">
        <f t="shared" si="50"/>
        <v>Feb</v>
      </c>
      <c r="C415" s="3" t="str">
        <f t="shared" si="51"/>
        <v>2015</v>
      </c>
      <c r="D415" s="3" t="str">
        <f t="shared" si="52"/>
        <v>Monday</v>
      </c>
      <c r="E415">
        <v>220506.20929999999</v>
      </c>
      <c r="F415">
        <v>234723.22</v>
      </c>
      <c r="G415">
        <v>5846</v>
      </c>
      <c r="H415" s="1">
        <f t="shared" si="53"/>
        <v>37.719159989736568</v>
      </c>
      <c r="I415" s="1" t="str">
        <f t="shared" si="54"/>
        <v>Medium</v>
      </c>
      <c r="J415">
        <f t="shared" si="55"/>
        <v>-6.4474423396656766</v>
      </c>
      <c r="K415">
        <f t="shared" si="56"/>
        <v>40.151081081081081</v>
      </c>
      <c r="L415">
        <f t="shared" si="57"/>
        <v>-6.4474423396656819</v>
      </c>
    </row>
    <row r="416" spans="1:12" x14ac:dyDescent="0.25">
      <c r="A416" s="3">
        <v>42052</v>
      </c>
      <c r="B416" s="3" t="str">
        <f t="shared" si="50"/>
        <v>Feb</v>
      </c>
      <c r="C416" s="3" t="str">
        <f t="shared" si="51"/>
        <v>2015</v>
      </c>
      <c r="D416" s="3" t="str">
        <f t="shared" si="52"/>
        <v>Tuesday</v>
      </c>
      <c r="E416">
        <v>139935.93700000001</v>
      </c>
      <c r="F416">
        <v>148697.54370000001</v>
      </c>
      <c r="G416">
        <v>3713</v>
      </c>
      <c r="H416" s="1">
        <f t="shared" si="53"/>
        <v>37.688105844330728</v>
      </c>
      <c r="I416" s="1" t="str">
        <f t="shared" si="54"/>
        <v>Medium</v>
      </c>
      <c r="J416">
        <f t="shared" si="55"/>
        <v>-6.2611555600617468</v>
      </c>
      <c r="K416">
        <f t="shared" si="56"/>
        <v>40.047816778885</v>
      </c>
      <c r="L416">
        <f t="shared" si="57"/>
        <v>-6.261155560061753</v>
      </c>
    </row>
    <row r="417" spans="1:12" x14ac:dyDescent="0.25">
      <c r="A417" s="3">
        <v>42053</v>
      </c>
      <c r="B417" s="3" t="str">
        <f t="shared" si="50"/>
        <v>Feb</v>
      </c>
      <c r="C417" s="3" t="str">
        <f t="shared" si="51"/>
        <v>2015</v>
      </c>
      <c r="D417" s="3" t="str">
        <f t="shared" si="52"/>
        <v>Wednesday</v>
      </c>
      <c r="E417">
        <v>161064.75229999999</v>
      </c>
      <c r="F417">
        <v>170739.36660000001</v>
      </c>
      <c r="G417">
        <v>4270</v>
      </c>
      <c r="H417" s="1">
        <f t="shared" si="53"/>
        <v>37.720082505854798</v>
      </c>
      <c r="I417" s="1" t="str">
        <f t="shared" si="54"/>
        <v>Medium</v>
      </c>
      <c r="J417">
        <f t="shared" si="55"/>
        <v>-6.0066613966412916</v>
      </c>
      <c r="K417">
        <f t="shared" si="56"/>
        <v>39.985800140515224</v>
      </c>
      <c r="L417">
        <f t="shared" si="57"/>
        <v>-6.0066613966412934</v>
      </c>
    </row>
    <row r="418" spans="1:12" x14ac:dyDescent="0.25">
      <c r="A418" s="3">
        <v>42054</v>
      </c>
      <c r="B418" s="3" t="str">
        <f t="shared" si="50"/>
        <v>Feb</v>
      </c>
      <c r="C418" s="3" t="str">
        <f t="shared" si="51"/>
        <v>2015</v>
      </c>
      <c r="D418" s="3" t="str">
        <f t="shared" si="52"/>
        <v>Thursday</v>
      </c>
      <c r="E418">
        <v>144328.54519999999</v>
      </c>
      <c r="F418">
        <v>152824.11489999999</v>
      </c>
      <c r="G418">
        <v>3827</v>
      </c>
      <c r="H418" s="1">
        <f t="shared" si="53"/>
        <v>37.71323365560491</v>
      </c>
      <c r="I418" s="1" t="str">
        <f t="shared" si="54"/>
        <v>Medium</v>
      </c>
      <c r="J418">
        <f t="shared" si="55"/>
        <v>-5.8862712765707235</v>
      </c>
      <c r="K418">
        <f t="shared" si="56"/>
        <v>39.933136895740788</v>
      </c>
      <c r="L418">
        <f t="shared" si="57"/>
        <v>-5.8862712765707315</v>
      </c>
    </row>
    <row r="419" spans="1:12" x14ac:dyDescent="0.25">
      <c r="A419" s="3">
        <v>42055</v>
      </c>
      <c r="B419" s="3" t="str">
        <f t="shared" si="50"/>
        <v>Feb</v>
      </c>
      <c r="C419" s="3" t="str">
        <f t="shared" si="51"/>
        <v>2015</v>
      </c>
      <c r="D419" s="3" t="str">
        <f t="shared" si="52"/>
        <v>Friday</v>
      </c>
      <c r="E419">
        <v>293071.75919999997</v>
      </c>
      <c r="F419">
        <v>310240.37839999999</v>
      </c>
      <c r="G419">
        <v>7770</v>
      </c>
      <c r="H419" s="1">
        <f t="shared" si="53"/>
        <v>37.718373127413123</v>
      </c>
      <c r="I419" s="1" t="str">
        <f t="shared" si="54"/>
        <v>Medium</v>
      </c>
      <c r="J419">
        <f t="shared" si="55"/>
        <v>-5.8581622626708612</v>
      </c>
      <c r="K419">
        <f t="shared" si="56"/>
        <v>39.927976628056626</v>
      </c>
      <c r="L419">
        <f t="shared" si="57"/>
        <v>-5.858162262670862</v>
      </c>
    </row>
    <row r="420" spans="1:12" x14ac:dyDescent="0.25">
      <c r="A420" s="3">
        <v>42056</v>
      </c>
      <c r="B420" s="3" t="str">
        <f t="shared" si="50"/>
        <v>Feb</v>
      </c>
      <c r="C420" s="3" t="str">
        <f t="shared" si="51"/>
        <v>2015</v>
      </c>
      <c r="D420" s="3" t="str">
        <f t="shared" si="52"/>
        <v>Saturday</v>
      </c>
      <c r="E420">
        <v>267782.15399999998</v>
      </c>
      <c r="F420">
        <v>283430.33679999999</v>
      </c>
      <c r="G420">
        <v>7102</v>
      </c>
      <c r="H420" s="1">
        <f t="shared" si="53"/>
        <v>37.705175161926213</v>
      </c>
      <c r="I420" s="1" t="str">
        <f t="shared" si="54"/>
        <v>Medium</v>
      </c>
      <c r="J420">
        <f t="shared" si="55"/>
        <v>-5.8436242170193351</v>
      </c>
      <c r="K420">
        <f t="shared" si="56"/>
        <v>39.908523908758092</v>
      </c>
      <c r="L420">
        <f t="shared" si="57"/>
        <v>-5.8436242170193315</v>
      </c>
    </row>
    <row r="421" spans="1:12" x14ac:dyDescent="0.25">
      <c r="A421" s="3">
        <v>42057</v>
      </c>
      <c r="B421" s="3" t="str">
        <f t="shared" si="50"/>
        <v>Feb</v>
      </c>
      <c r="C421" s="3" t="str">
        <f t="shared" si="51"/>
        <v>2015</v>
      </c>
      <c r="D421" s="3" t="str">
        <f t="shared" si="52"/>
        <v>Sunday</v>
      </c>
      <c r="E421">
        <v>136052.68840000001</v>
      </c>
      <c r="F421">
        <v>144020.12280000001</v>
      </c>
      <c r="G421">
        <v>3608</v>
      </c>
      <c r="H421" s="1">
        <f t="shared" si="53"/>
        <v>37.708616518847009</v>
      </c>
      <c r="I421" s="1" t="str">
        <f t="shared" si="54"/>
        <v>Medium</v>
      </c>
      <c r="J421">
        <f t="shared" si="55"/>
        <v>-5.8561388927320879</v>
      </c>
      <c r="K421">
        <f t="shared" si="56"/>
        <v>39.916885476718406</v>
      </c>
      <c r="L421">
        <f t="shared" si="57"/>
        <v>-5.8561388927320888</v>
      </c>
    </row>
    <row r="422" spans="1:12" x14ac:dyDescent="0.25">
      <c r="A422" s="3">
        <v>42058</v>
      </c>
      <c r="B422" s="3" t="str">
        <f t="shared" si="50"/>
        <v>Feb</v>
      </c>
      <c r="C422" s="3" t="str">
        <f t="shared" si="51"/>
        <v>2015</v>
      </c>
      <c r="D422" s="3" t="str">
        <f t="shared" si="52"/>
        <v>Monday</v>
      </c>
      <c r="E422">
        <v>86703.31409</v>
      </c>
      <c r="F422">
        <v>85730.966539999994</v>
      </c>
      <c r="G422">
        <v>2150</v>
      </c>
      <c r="H422" s="1">
        <f t="shared" si="53"/>
        <v>40.327122832558139</v>
      </c>
      <c r="I422" s="1" t="str">
        <f t="shared" si="54"/>
        <v>High</v>
      </c>
      <c r="J422">
        <f t="shared" si="55"/>
        <v>1.1214652637045537</v>
      </c>
      <c r="K422">
        <f t="shared" si="56"/>
        <v>39.874868158139535</v>
      </c>
      <c r="L422">
        <f t="shared" si="57"/>
        <v>1.1214652637045464</v>
      </c>
    </row>
    <row r="423" spans="1:12" x14ac:dyDescent="0.25">
      <c r="A423" s="3">
        <v>42059</v>
      </c>
      <c r="B423" s="3" t="str">
        <f t="shared" si="50"/>
        <v>Feb</v>
      </c>
      <c r="C423" s="3" t="str">
        <f t="shared" si="51"/>
        <v>2015</v>
      </c>
      <c r="D423" s="3" t="str">
        <f t="shared" si="52"/>
        <v>Tuesday</v>
      </c>
      <c r="E423">
        <v>95474.357369999998</v>
      </c>
      <c r="F423">
        <v>100867.5241</v>
      </c>
      <c r="G423">
        <v>2530</v>
      </c>
      <c r="H423" s="1">
        <f t="shared" si="53"/>
        <v>37.736900146245056</v>
      </c>
      <c r="I423" s="1" t="str">
        <f t="shared" si="54"/>
        <v>Medium</v>
      </c>
      <c r="J423">
        <f t="shared" si="55"/>
        <v>-5.6488117632459094</v>
      </c>
      <c r="K423">
        <f t="shared" si="56"/>
        <v>39.868586600790515</v>
      </c>
      <c r="L423">
        <f t="shared" si="57"/>
        <v>-5.6488117632459245</v>
      </c>
    </row>
    <row r="424" spans="1:12" x14ac:dyDescent="0.25">
      <c r="A424" s="3">
        <v>42060</v>
      </c>
      <c r="B424" s="3" t="str">
        <f t="shared" si="50"/>
        <v>Feb</v>
      </c>
      <c r="C424" s="3" t="str">
        <f t="shared" si="51"/>
        <v>2015</v>
      </c>
      <c r="D424" s="3" t="str">
        <f t="shared" si="52"/>
        <v>Wednesday</v>
      </c>
      <c r="E424">
        <v>198431.6275</v>
      </c>
      <c r="F424">
        <v>209499.7941</v>
      </c>
      <c r="G424">
        <v>5253</v>
      </c>
      <c r="H424" s="1">
        <f t="shared" si="53"/>
        <v>37.774914810584427</v>
      </c>
      <c r="I424" s="1" t="str">
        <f t="shared" si="54"/>
        <v>Medium</v>
      </c>
      <c r="J424">
        <f t="shared" si="55"/>
        <v>-5.5778238275045124</v>
      </c>
      <c r="K424">
        <f t="shared" si="56"/>
        <v>39.881933009708739</v>
      </c>
      <c r="L424">
        <f t="shared" si="57"/>
        <v>-5.5778238275045187</v>
      </c>
    </row>
    <row r="425" spans="1:12" x14ac:dyDescent="0.25">
      <c r="A425" s="3">
        <v>42061</v>
      </c>
      <c r="B425" s="3" t="str">
        <f t="shared" si="50"/>
        <v>Feb</v>
      </c>
      <c r="C425" s="3" t="str">
        <f t="shared" si="51"/>
        <v>2015</v>
      </c>
      <c r="D425" s="3" t="str">
        <f t="shared" si="52"/>
        <v>Thursday</v>
      </c>
      <c r="E425">
        <v>157291.734</v>
      </c>
      <c r="F425">
        <v>166305.03760000001</v>
      </c>
      <c r="G425">
        <v>4171</v>
      </c>
      <c r="H425" s="1">
        <f t="shared" si="53"/>
        <v>37.71079693119156</v>
      </c>
      <c r="I425" s="1" t="str">
        <f t="shared" si="54"/>
        <v>Medium</v>
      </c>
      <c r="J425">
        <f t="shared" si="55"/>
        <v>-5.7303097694885956</v>
      </c>
      <c r="K425">
        <f t="shared" si="56"/>
        <v>39.871742411891638</v>
      </c>
      <c r="L425">
        <f t="shared" si="57"/>
        <v>-5.7303097694886045</v>
      </c>
    </row>
    <row r="426" spans="1:12" x14ac:dyDescent="0.25">
      <c r="A426" s="3">
        <v>42062</v>
      </c>
      <c r="B426" s="3" t="str">
        <f t="shared" si="50"/>
        <v>Feb</v>
      </c>
      <c r="C426" s="3" t="str">
        <f t="shared" si="51"/>
        <v>2015</v>
      </c>
      <c r="D426" s="3" t="str">
        <f t="shared" si="52"/>
        <v>Friday</v>
      </c>
      <c r="E426">
        <v>307540.6752</v>
      </c>
      <c r="F426">
        <v>324997.33649999998</v>
      </c>
      <c r="G426">
        <v>8156</v>
      </c>
      <c r="H426" s="1">
        <f t="shared" si="53"/>
        <v>37.707292202059833</v>
      </c>
      <c r="I426" s="1" t="str">
        <f t="shared" si="54"/>
        <v>Medium</v>
      </c>
      <c r="J426">
        <f t="shared" si="55"/>
        <v>-5.6762121916548285</v>
      </c>
      <c r="K426">
        <f t="shared" si="56"/>
        <v>39.847638119176061</v>
      </c>
      <c r="L426">
        <f t="shared" si="57"/>
        <v>-5.6762121916548214</v>
      </c>
    </row>
    <row r="427" spans="1:12" x14ac:dyDescent="0.25">
      <c r="A427" s="3">
        <v>42063</v>
      </c>
      <c r="B427" s="3" t="str">
        <f t="shared" si="50"/>
        <v>Feb</v>
      </c>
      <c r="C427" s="3" t="str">
        <f t="shared" si="51"/>
        <v>2015</v>
      </c>
      <c r="D427" s="3" t="str">
        <f t="shared" si="52"/>
        <v>Saturday</v>
      </c>
      <c r="E427">
        <v>350898.7635</v>
      </c>
      <c r="F427">
        <v>375030.63549999997</v>
      </c>
      <c r="G427">
        <v>9296</v>
      </c>
      <c r="H427" s="1">
        <f t="shared" si="53"/>
        <v>37.747285230206543</v>
      </c>
      <c r="I427" s="1" t="str">
        <f t="shared" si="54"/>
        <v>Medium</v>
      </c>
      <c r="J427">
        <f t="shared" si="55"/>
        <v>-6.8771607398382795</v>
      </c>
      <c r="K427">
        <f t="shared" si="56"/>
        <v>40.343226710413077</v>
      </c>
      <c r="L427">
        <f t="shared" si="57"/>
        <v>-6.8771607398382688</v>
      </c>
    </row>
    <row r="428" spans="1:12" x14ac:dyDescent="0.25">
      <c r="A428" s="3">
        <v>42064</v>
      </c>
      <c r="B428" s="3" t="str">
        <f t="shared" si="50"/>
        <v>Mar</v>
      </c>
      <c r="C428" s="3" t="str">
        <f t="shared" si="51"/>
        <v>2015</v>
      </c>
      <c r="D428" s="3" t="str">
        <f t="shared" si="52"/>
        <v>Sunday</v>
      </c>
      <c r="E428">
        <v>256701.54269999999</v>
      </c>
      <c r="F428">
        <v>276569.25040000002</v>
      </c>
      <c r="G428">
        <v>6803</v>
      </c>
      <c r="H428" s="1">
        <f t="shared" si="53"/>
        <v>37.733579700132296</v>
      </c>
      <c r="I428" s="1" t="str">
        <f t="shared" si="54"/>
        <v>Medium</v>
      </c>
      <c r="J428">
        <f t="shared" si="55"/>
        <v>-7.7396136739306121</v>
      </c>
      <c r="K428">
        <f t="shared" si="56"/>
        <v>40.654012994267241</v>
      </c>
      <c r="L428">
        <f t="shared" si="57"/>
        <v>-7.7396136739306121</v>
      </c>
    </row>
    <row r="429" spans="1:12" x14ac:dyDescent="0.25">
      <c r="A429" s="3">
        <v>42065</v>
      </c>
      <c r="B429" s="3" t="str">
        <f t="shared" si="50"/>
        <v>Mar</v>
      </c>
      <c r="C429" s="3" t="str">
        <f t="shared" si="51"/>
        <v>2015</v>
      </c>
      <c r="D429" s="3" t="str">
        <f t="shared" si="52"/>
        <v>Monday</v>
      </c>
      <c r="E429">
        <v>234705.59280000001</v>
      </c>
      <c r="F429">
        <v>252709.82310000001</v>
      </c>
      <c r="G429">
        <v>6221</v>
      </c>
      <c r="H429" s="1">
        <f t="shared" si="53"/>
        <v>37.727952547821893</v>
      </c>
      <c r="I429" s="1" t="str">
        <f t="shared" si="54"/>
        <v>Medium</v>
      </c>
      <c r="J429">
        <f t="shared" si="55"/>
        <v>-7.6709847793622732</v>
      </c>
      <c r="K429">
        <f t="shared" si="56"/>
        <v>40.622058045330334</v>
      </c>
      <c r="L429">
        <f t="shared" si="57"/>
        <v>-7.6709847793622803</v>
      </c>
    </row>
    <row r="430" spans="1:12" x14ac:dyDescent="0.25">
      <c r="A430" s="3">
        <v>42066</v>
      </c>
      <c r="B430" s="3" t="str">
        <f t="shared" si="50"/>
        <v>Mar</v>
      </c>
      <c r="C430" s="3" t="str">
        <f t="shared" si="51"/>
        <v>2015</v>
      </c>
      <c r="D430" s="3" t="str">
        <f t="shared" si="52"/>
        <v>Tuesday</v>
      </c>
      <c r="E430">
        <v>249380.56539999999</v>
      </c>
      <c r="F430">
        <v>268761.83240000001</v>
      </c>
      <c r="G430">
        <v>6611</v>
      </c>
      <c r="H430" s="1">
        <f t="shared" si="53"/>
        <v>37.722064044773859</v>
      </c>
      <c r="I430" s="1" t="str">
        <f t="shared" si="54"/>
        <v>Medium</v>
      </c>
      <c r="J430">
        <f t="shared" si="55"/>
        <v>-7.7717631961067095</v>
      </c>
      <c r="K430">
        <f t="shared" si="56"/>
        <v>40.653733535017395</v>
      </c>
      <c r="L430">
        <f t="shared" si="57"/>
        <v>-7.7717631961067069</v>
      </c>
    </row>
    <row r="431" spans="1:12" x14ac:dyDescent="0.25">
      <c r="A431" s="3">
        <v>42067</v>
      </c>
      <c r="B431" s="3" t="str">
        <f t="shared" si="50"/>
        <v>Mar</v>
      </c>
      <c r="C431" s="3" t="str">
        <f t="shared" si="51"/>
        <v>2015</v>
      </c>
      <c r="D431" s="3" t="str">
        <f t="shared" si="52"/>
        <v>Wednesday</v>
      </c>
      <c r="E431">
        <v>258211.4442</v>
      </c>
      <c r="F431">
        <v>278825.6067</v>
      </c>
      <c r="G431">
        <v>6843</v>
      </c>
      <c r="H431" s="1">
        <f t="shared" si="53"/>
        <v>37.733661288908372</v>
      </c>
      <c r="I431" s="1" t="str">
        <f t="shared" si="54"/>
        <v>Medium</v>
      </c>
      <c r="J431">
        <f t="shared" si="55"/>
        <v>-7.9834426254295376</v>
      </c>
      <c r="K431">
        <f t="shared" si="56"/>
        <v>40.746106488382289</v>
      </c>
      <c r="L431">
        <f t="shared" si="57"/>
        <v>-7.9834426254295394</v>
      </c>
    </row>
    <row r="432" spans="1:12" x14ac:dyDescent="0.25">
      <c r="A432" s="3">
        <v>42068</v>
      </c>
      <c r="B432" s="3" t="str">
        <f t="shared" si="50"/>
        <v>Mar</v>
      </c>
      <c r="C432" s="3" t="str">
        <f t="shared" si="51"/>
        <v>2015</v>
      </c>
      <c r="D432" s="3" t="str">
        <f t="shared" si="52"/>
        <v>Thursday</v>
      </c>
      <c r="E432">
        <v>145975.8339</v>
      </c>
      <c r="F432">
        <v>157578.00589999999</v>
      </c>
      <c r="G432">
        <v>3858</v>
      </c>
      <c r="H432" s="1">
        <f t="shared" si="53"/>
        <v>37.837178304821151</v>
      </c>
      <c r="I432" s="1" t="str">
        <f t="shared" si="54"/>
        <v>Medium</v>
      </c>
      <c r="J432">
        <f t="shared" si="55"/>
        <v>-7.9480087148863285</v>
      </c>
      <c r="K432">
        <f t="shared" si="56"/>
        <v>40.844480533955412</v>
      </c>
      <c r="L432">
        <f t="shared" si="57"/>
        <v>-7.9480087148863205</v>
      </c>
    </row>
    <row r="433" spans="1:12" x14ac:dyDescent="0.25">
      <c r="A433" s="3">
        <v>42069</v>
      </c>
      <c r="B433" s="3" t="str">
        <f t="shared" si="50"/>
        <v>Mar</v>
      </c>
      <c r="C433" s="3" t="str">
        <f t="shared" si="51"/>
        <v>2015</v>
      </c>
      <c r="D433" s="3" t="str">
        <f t="shared" si="52"/>
        <v>Friday</v>
      </c>
      <c r="E433">
        <v>269239.85259999998</v>
      </c>
      <c r="F433">
        <v>291365.01760000002</v>
      </c>
      <c r="G433">
        <v>7128</v>
      </c>
      <c r="H433" s="1">
        <f t="shared" si="53"/>
        <v>37.772145426487093</v>
      </c>
      <c r="I433" s="1" t="str">
        <f t="shared" si="54"/>
        <v>Medium</v>
      </c>
      <c r="J433">
        <f t="shared" si="55"/>
        <v>-8.2176411799149971</v>
      </c>
      <c r="K433">
        <f t="shared" si="56"/>
        <v>40.876124803591473</v>
      </c>
      <c r="L433">
        <f t="shared" si="57"/>
        <v>-8.2176411799149918</v>
      </c>
    </row>
    <row r="434" spans="1:12" x14ac:dyDescent="0.25">
      <c r="A434" s="3">
        <v>42070</v>
      </c>
      <c r="B434" s="3" t="str">
        <f t="shared" si="50"/>
        <v>Mar</v>
      </c>
      <c r="C434" s="3" t="str">
        <f t="shared" si="51"/>
        <v>2015</v>
      </c>
      <c r="D434" s="3" t="str">
        <f t="shared" si="52"/>
        <v>Saturday</v>
      </c>
      <c r="E434">
        <v>306920.21159999998</v>
      </c>
      <c r="F434">
        <v>332242.41159999999</v>
      </c>
      <c r="G434">
        <v>8127</v>
      </c>
      <c r="H434" s="1">
        <f t="shared" si="53"/>
        <v>37.765499150978215</v>
      </c>
      <c r="I434" s="1" t="str">
        <f t="shared" si="54"/>
        <v>Medium</v>
      </c>
      <c r="J434">
        <f t="shared" si="55"/>
        <v>-8.2504178750540174</v>
      </c>
      <c r="K434">
        <f t="shared" si="56"/>
        <v>40.881310643533901</v>
      </c>
      <c r="L434">
        <f t="shared" si="57"/>
        <v>-8.2504178750540333</v>
      </c>
    </row>
    <row r="435" spans="1:12" x14ac:dyDescent="0.25">
      <c r="A435" s="3">
        <v>42071</v>
      </c>
      <c r="B435" s="3" t="str">
        <f t="shared" si="50"/>
        <v>Mar</v>
      </c>
      <c r="C435" s="3" t="str">
        <f t="shared" si="51"/>
        <v>2015</v>
      </c>
      <c r="D435" s="3" t="str">
        <f t="shared" si="52"/>
        <v>Sunday</v>
      </c>
      <c r="E435">
        <v>122106.7956</v>
      </c>
      <c r="F435">
        <v>121394.8122</v>
      </c>
      <c r="G435">
        <v>2966</v>
      </c>
      <c r="H435" s="1">
        <f t="shared" si="53"/>
        <v>41.168845448415375</v>
      </c>
      <c r="I435" s="1" t="str">
        <f t="shared" si="54"/>
        <v>High</v>
      </c>
      <c r="J435">
        <f t="shared" si="55"/>
        <v>0.58308253566191959</v>
      </c>
      <c r="K435">
        <f t="shared" si="56"/>
        <v>40.928797100472018</v>
      </c>
      <c r="L435">
        <f t="shared" si="57"/>
        <v>0.58308253566192048</v>
      </c>
    </row>
    <row r="436" spans="1:12" x14ac:dyDescent="0.25">
      <c r="A436" s="3">
        <v>42072</v>
      </c>
      <c r="B436" s="3" t="str">
        <f t="shared" si="50"/>
        <v>Mar</v>
      </c>
      <c r="C436" s="3" t="str">
        <f t="shared" si="51"/>
        <v>2015</v>
      </c>
      <c r="D436" s="3" t="str">
        <f t="shared" si="52"/>
        <v>Monday</v>
      </c>
      <c r="E436">
        <v>117661.28079999999</v>
      </c>
      <c r="F436">
        <v>116861.1583</v>
      </c>
      <c r="G436">
        <v>2858</v>
      </c>
      <c r="H436" s="1">
        <f t="shared" si="53"/>
        <v>41.169097550734776</v>
      </c>
      <c r="I436" s="1" t="str">
        <f t="shared" si="54"/>
        <v>High</v>
      </c>
      <c r="J436">
        <f t="shared" si="55"/>
        <v>0.68002191932624079</v>
      </c>
      <c r="K436">
        <f t="shared" si="56"/>
        <v>40.889138663400978</v>
      </c>
      <c r="L436">
        <f t="shared" si="57"/>
        <v>0.68002191932623868</v>
      </c>
    </row>
    <row r="437" spans="1:12" x14ac:dyDescent="0.25">
      <c r="A437" s="3">
        <v>42073</v>
      </c>
      <c r="B437" s="3" t="str">
        <f t="shared" si="50"/>
        <v>Mar</v>
      </c>
      <c r="C437" s="3" t="str">
        <f t="shared" si="51"/>
        <v>2015</v>
      </c>
      <c r="D437" s="3" t="str">
        <f t="shared" si="52"/>
        <v>Tuesday</v>
      </c>
      <c r="E437">
        <v>62499.799169999998</v>
      </c>
      <c r="F437">
        <v>62073.872649999998</v>
      </c>
      <c r="G437">
        <v>1518</v>
      </c>
      <c r="H437" s="1">
        <f t="shared" si="53"/>
        <v>41.172463221343875</v>
      </c>
      <c r="I437" s="1" t="str">
        <f t="shared" si="54"/>
        <v>High</v>
      </c>
      <c r="J437">
        <f t="shared" si="55"/>
        <v>0.68148462180090708</v>
      </c>
      <c r="K437">
        <f t="shared" si="56"/>
        <v>40.891879216073782</v>
      </c>
      <c r="L437">
        <f t="shared" si="57"/>
        <v>0.6814846218009073</v>
      </c>
    </row>
    <row r="438" spans="1:12" x14ac:dyDescent="0.25">
      <c r="A438" s="3">
        <v>42074</v>
      </c>
      <c r="B438" s="3" t="str">
        <f t="shared" si="50"/>
        <v>Mar</v>
      </c>
      <c r="C438" s="3" t="str">
        <f t="shared" si="51"/>
        <v>2015</v>
      </c>
      <c r="D438" s="3" t="str">
        <f t="shared" si="52"/>
        <v>Wednesday</v>
      </c>
      <c r="E438">
        <v>57063.984120000001</v>
      </c>
      <c r="F438">
        <v>56638.281369999997</v>
      </c>
      <c r="G438">
        <v>1386</v>
      </c>
      <c r="H438" s="1">
        <f t="shared" si="53"/>
        <v>41.171705714285714</v>
      </c>
      <c r="I438" s="1" t="str">
        <f t="shared" si="54"/>
        <v>High</v>
      </c>
      <c r="J438">
        <f t="shared" si="55"/>
        <v>0.74600951294391327</v>
      </c>
      <c r="K438">
        <f t="shared" si="56"/>
        <v>40.864560873015868</v>
      </c>
      <c r="L438">
        <f t="shared" si="57"/>
        <v>0.74600951294391737</v>
      </c>
    </row>
    <row r="439" spans="1:12" x14ac:dyDescent="0.25">
      <c r="A439" s="3">
        <v>42075</v>
      </c>
      <c r="B439" s="3" t="str">
        <f t="shared" si="50"/>
        <v>Mar</v>
      </c>
      <c r="C439" s="3" t="str">
        <f t="shared" si="51"/>
        <v>2015</v>
      </c>
      <c r="D439" s="3" t="str">
        <f t="shared" si="52"/>
        <v>Thursday</v>
      </c>
      <c r="E439">
        <v>48008.482839999997</v>
      </c>
      <c r="F439">
        <v>47681.672079999997</v>
      </c>
      <c r="G439">
        <v>1166</v>
      </c>
      <c r="H439" s="1">
        <f t="shared" si="53"/>
        <v>41.173655951972556</v>
      </c>
      <c r="I439" s="1" t="str">
        <f t="shared" si="54"/>
        <v>High</v>
      </c>
      <c r="J439">
        <f t="shared" si="55"/>
        <v>0.6807354464609453</v>
      </c>
      <c r="K439">
        <f t="shared" si="56"/>
        <v>40.893372281303598</v>
      </c>
      <c r="L439">
        <f t="shared" si="57"/>
        <v>0.68073544646095396</v>
      </c>
    </row>
    <row r="440" spans="1:12" x14ac:dyDescent="0.25">
      <c r="A440" s="3">
        <v>42076</v>
      </c>
      <c r="B440" s="3" t="str">
        <f t="shared" si="50"/>
        <v>Mar</v>
      </c>
      <c r="C440" s="3" t="str">
        <f t="shared" si="51"/>
        <v>2015</v>
      </c>
      <c r="D440" s="3" t="str">
        <f t="shared" si="52"/>
        <v>Friday</v>
      </c>
      <c r="E440">
        <v>117446.8391</v>
      </c>
      <c r="F440">
        <v>116681.1416</v>
      </c>
      <c r="G440">
        <v>2853</v>
      </c>
      <c r="H440" s="1">
        <f t="shared" si="53"/>
        <v>41.166084507535928</v>
      </c>
      <c r="I440" s="1" t="str">
        <f t="shared" si="54"/>
        <v>High</v>
      </c>
      <c r="J440">
        <f t="shared" si="55"/>
        <v>0.65195241171883933</v>
      </c>
      <c r="K440">
        <f t="shared" si="56"/>
        <v>40.897701226778828</v>
      </c>
      <c r="L440">
        <f t="shared" si="57"/>
        <v>0.65195241171884766</v>
      </c>
    </row>
    <row r="441" spans="1:12" x14ac:dyDescent="0.25">
      <c r="A441" s="3">
        <v>42077</v>
      </c>
      <c r="B441" s="3" t="str">
        <f t="shared" si="50"/>
        <v>Mar</v>
      </c>
      <c r="C441" s="3" t="str">
        <f t="shared" si="51"/>
        <v>2015</v>
      </c>
      <c r="D441" s="3" t="str">
        <f t="shared" si="52"/>
        <v>Saturday</v>
      </c>
      <c r="E441">
        <v>150591.54790000001</v>
      </c>
      <c r="F441">
        <v>149573.82759999999</v>
      </c>
      <c r="G441">
        <v>3657</v>
      </c>
      <c r="H441" s="1">
        <f t="shared" si="53"/>
        <v>41.178984933005196</v>
      </c>
      <c r="I441" s="1" t="str">
        <f t="shared" si="54"/>
        <v>High</v>
      </c>
      <c r="J441">
        <f t="shared" si="55"/>
        <v>0.67581502029305818</v>
      </c>
      <c r="K441">
        <f t="shared" si="56"/>
        <v>40.900691167623734</v>
      </c>
      <c r="L441">
        <f t="shared" si="57"/>
        <v>0.67581502029305418</v>
      </c>
    </row>
    <row r="442" spans="1:12" x14ac:dyDescent="0.25">
      <c r="A442" s="3">
        <v>42078</v>
      </c>
      <c r="B442" s="3" t="str">
        <f t="shared" si="50"/>
        <v>Mar</v>
      </c>
      <c r="C442" s="3" t="str">
        <f t="shared" si="51"/>
        <v>2015</v>
      </c>
      <c r="D442" s="3" t="str">
        <f t="shared" si="52"/>
        <v>Sunday</v>
      </c>
      <c r="E442">
        <v>67152.474950000003</v>
      </c>
      <c r="F442">
        <v>66802.983219999995</v>
      </c>
      <c r="G442">
        <v>1631</v>
      </c>
      <c r="H442" s="1">
        <f t="shared" si="53"/>
        <v>41.172578142244021</v>
      </c>
      <c r="I442" s="1" t="str">
        <f t="shared" si="54"/>
        <v>High</v>
      </c>
      <c r="J442">
        <f t="shared" si="55"/>
        <v>0.52044504727522156</v>
      </c>
      <c r="K442">
        <f t="shared" si="56"/>
        <v>40.958297498467196</v>
      </c>
      <c r="L442">
        <f t="shared" si="57"/>
        <v>0.52044504727520913</v>
      </c>
    </row>
    <row r="443" spans="1:12" x14ac:dyDescent="0.25">
      <c r="A443" s="3">
        <v>42079</v>
      </c>
      <c r="B443" s="3" t="str">
        <f t="shared" si="50"/>
        <v>Mar</v>
      </c>
      <c r="C443" s="3" t="str">
        <f t="shared" si="51"/>
        <v>2015</v>
      </c>
      <c r="D443" s="3" t="str">
        <f t="shared" si="52"/>
        <v>Monday</v>
      </c>
      <c r="E443">
        <v>80635.289250000002</v>
      </c>
      <c r="F443">
        <v>80121.290519999995</v>
      </c>
      <c r="G443">
        <v>1959</v>
      </c>
      <c r="H443" s="1">
        <f t="shared" si="53"/>
        <v>41.16145444104135</v>
      </c>
      <c r="I443" s="1" t="str">
        <f t="shared" si="54"/>
        <v>High</v>
      </c>
      <c r="J443">
        <f t="shared" si="55"/>
        <v>0.63743645590011522</v>
      </c>
      <c r="K443">
        <f t="shared" si="56"/>
        <v>40.899076324655432</v>
      </c>
      <c r="L443">
        <f t="shared" si="57"/>
        <v>0.63743645590012299</v>
      </c>
    </row>
    <row r="444" spans="1:12" x14ac:dyDescent="0.25">
      <c r="A444" s="3">
        <v>42080</v>
      </c>
      <c r="B444" s="3" t="str">
        <f t="shared" si="50"/>
        <v>Mar</v>
      </c>
      <c r="C444" s="3" t="str">
        <f t="shared" si="51"/>
        <v>2015</v>
      </c>
      <c r="D444" s="3" t="str">
        <f t="shared" si="52"/>
        <v>Tuesday</v>
      </c>
      <c r="E444">
        <v>50669.6371</v>
      </c>
      <c r="F444">
        <v>50308.957049999997</v>
      </c>
      <c r="G444">
        <v>1230</v>
      </c>
      <c r="H444" s="1">
        <f t="shared" si="53"/>
        <v>41.194826910569105</v>
      </c>
      <c r="I444" s="1" t="str">
        <f t="shared" si="54"/>
        <v>High</v>
      </c>
      <c r="J444">
        <f t="shared" si="55"/>
        <v>0.71182678748650974</v>
      </c>
      <c r="K444">
        <f t="shared" si="56"/>
        <v>40.901591097560974</v>
      </c>
      <c r="L444">
        <f t="shared" si="57"/>
        <v>0.71182678748650707</v>
      </c>
    </row>
    <row r="445" spans="1:12" x14ac:dyDescent="0.25">
      <c r="A445" s="3">
        <v>42081</v>
      </c>
      <c r="B445" s="3" t="str">
        <f t="shared" si="50"/>
        <v>Mar</v>
      </c>
      <c r="C445" s="3" t="str">
        <f t="shared" si="51"/>
        <v>2015</v>
      </c>
      <c r="D445" s="3" t="str">
        <f t="shared" si="52"/>
        <v>Wednesday</v>
      </c>
      <c r="E445">
        <v>48648.992660000004</v>
      </c>
      <c r="F445">
        <v>48362.068789999998</v>
      </c>
      <c r="G445">
        <v>1182</v>
      </c>
      <c r="H445" s="1">
        <f t="shared" si="53"/>
        <v>41.158200219966162</v>
      </c>
      <c r="I445" s="1" t="str">
        <f t="shared" si="54"/>
        <v>High</v>
      </c>
      <c r="J445">
        <f t="shared" si="55"/>
        <v>0.58978378443572477</v>
      </c>
      <c r="K445">
        <f t="shared" si="56"/>
        <v>40.915455829103216</v>
      </c>
      <c r="L445">
        <f t="shared" si="57"/>
        <v>0.589783784435716</v>
      </c>
    </row>
    <row r="446" spans="1:12" x14ac:dyDescent="0.25">
      <c r="A446" s="3">
        <v>42082</v>
      </c>
      <c r="B446" s="3" t="str">
        <f t="shared" si="50"/>
        <v>Mar</v>
      </c>
      <c r="C446" s="3" t="str">
        <f t="shared" si="51"/>
        <v>2015</v>
      </c>
      <c r="D446" s="3" t="str">
        <f t="shared" si="52"/>
        <v>Thursday</v>
      </c>
      <c r="E446">
        <v>43213.177620000002</v>
      </c>
      <c r="F446">
        <v>42981.216849999997</v>
      </c>
      <c r="G446">
        <v>1050</v>
      </c>
      <c r="H446" s="1">
        <f t="shared" si="53"/>
        <v>41.155407257142862</v>
      </c>
      <c r="I446" s="1" t="str">
        <f t="shared" si="54"/>
        <v>High</v>
      </c>
      <c r="J446">
        <f t="shared" si="55"/>
        <v>0.53678248806366102</v>
      </c>
      <c r="K446">
        <f t="shared" si="56"/>
        <v>40.934492238095238</v>
      </c>
      <c r="L446">
        <f t="shared" si="57"/>
        <v>0.53678248806366025</v>
      </c>
    </row>
    <row r="447" spans="1:12" x14ac:dyDescent="0.25">
      <c r="A447" s="3">
        <v>42083</v>
      </c>
      <c r="B447" s="3" t="str">
        <f t="shared" si="50"/>
        <v>Mar</v>
      </c>
      <c r="C447" s="3" t="str">
        <f t="shared" si="51"/>
        <v>2015</v>
      </c>
      <c r="D447" s="3" t="str">
        <f t="shared" si="52"/>
        <v>Friday</v>
      </c>
      <c r="E447">
        <v>96881.018089999998</v>
      </c>
      <c r="F447">
        <v>96453.287280000004</v>
      </c>
      <c r="G447">
        <v>2353</v>
      </c>
      <c r="H447" s="1">
        <f t="shared" si="53"/>
        <v>41.173403353166172</v>
      </c>
      <c r="I447" s="1" t="str">
        <f t="shared" si="54"/>
        <v>High</v>
      </c>
      <c r="J447">
        <f t="shared" si="55"/>
        <v>0.44150115103315973</v>
      </c>
      <c r="K447">
        <f t="shared" si="56"/>
        <v>40.991622303442419</v>
      </c>
      <c r="L447">
        <f t="shared" si="57"/>
        <v>0.44150115103315696</v>
      </c>
    </row>
    <row r="448" spans="1:12" x14ac:dyDescent="0.25">
      <c r="A448" s="3">
        <v>42084</v>
      </c>
      <c r="B448" s="3" t="str">
        <f t="shared" si="50"/>
        <v>Mar</v>
      </c>
      <c r="C448" s="3" t="str">
        <f t="shared" si="51"/>
        <v>2015</v>
      </c>
      <c r="D448" s="3" t="str">
        <f t="shared" si="52"/>
        <v>Saturday</v>
      </c>
      <c r="E448">
        <v>121360.8851</v>
      </c>
      <c r="F448">
        <v>120829.288</v>
      </c>
      <c r="G448">
        <v>2947</v>
      </c>
      <c r="H448" s="1">
        <f t="shared" si="53"/>
        <v>41.181162232779094</v>
      </c>
      <c r="I448" s="1" t="str">
        <f t="shared" si="54"/>
        <v>High</v>
      </c>
      <c r="J448">
        <f t="shared" si="55"/>
        <v>0.43803001235692129</v>
      </c>
      <c r="K448">
        <f t="shared" si="56"/>
        <v>41.000776382762133</v>
      </c>
      <c r="L448">
        <f t="shared" si="57"/>
        <v>0.43803001235690908</v>
      </c>
    </row>
    <row r="449" spans="1:12" x14ac:dyDescent="0.25">
      <c r="A449" s="3">
        <v>42085</v>
      </c>
      <c r="B449" s="3" t="str">
        <f t="shared" si="50"/>
        <v>Mar</v>
      </c>
      <c r="C449" s="3" t="str">
        <f t="shared" si="51"/>
        <v>2015</v>
      </c>
      <c r="D449" s="3" t="str">
        <f t="shared" si="52"/>
        <v>Sunday</v>
      </c>
      <c r="E449">
        <v>66954.366370000003</v>
      </c>
      <c r="F449">
        <v>66756.376439999993</v>
      </c>
      <c r="G449">
        <v>1626</v>
      </c>
      <c r="H449" s="1">
        <f t="shared" si="53"/>
        <v>41.177347091020913</v>
      </c>
      <c r="I449" s="1" t="str">
        <f t="shared" si="54"/>
        <v>High</v>
      </c>
      <c r="J449">
        <f t="shared" si="55"/>
        <v>0.29570876513995847</v>
      </c>
      <c r="K449">
        <f t="shared" si="56"/>
        <v>41.055582066420662</v>
      </c>
      <c r="L449">
        <f t="shared" si="57"/>
        <v>0.29570876513995376</v>
      </c>
    </row>
    <row r="450" spans="1:12" x14ac:dyDescent="0.25">
      <c r="A450" s="3">
        <v>42086</v>
      </c>
      <c r="B450" s="3" t="str">
        <f t="shared" si="50"/>
        <v>Mar</v>
      </c>
      <c r="C450" s="3" t="str">
        <f t="shared" si="51"/>
        <v>2015</v>
      </c>
      <c r="D450" s="3" t="str">
        <f t="shared" si="52"/>
        <v>Monday</v>
      </c>
      <c r="E450">
        <v>81342.150760000004</v>
      </c>
      <c r="F450">
        <v>81132.012900000002</v>
      </c>
      <c r="G450">
        <v>1976</v>
      </c>
      <c r="H450" s="1">
        <f t="shared" si="53"/>
        <v>41.165056052631584</v>
      </c>
      <c r="I450" s="1" t="str">
        <f t="shared" si="54"/>
        <v>High</v>
      </c>
      <c r="J450">
        <f t="shared" si="55"/>
        <v>0.25833821461152934</v>
      </c>
      <c r="K450">
        <f t="shared" si="56"/>
        <v>41.058710981781374</v>
      </c>
      <c r="L450">
        <f t="shared" si="57"/>
        <v>0.25833821461154527</v>
      </c>
    </row>
    <row r="451" spans="1:12" x14ac:dyDescent="0.25">
      <c r="A451" s="3">
        <v>42087</v>
      </c>
      <c r="B451" s="3" t="str">
        <f t="shared" ref="B451:B514" si="58">TEXT(A451,"mmm")</f>
        <v>Mar</v>
      </c>
      <c r="C451" s="3" t="str">
        <f t="shared" ref="C451:C514" si="59">TEXT(A451,"yyyy")</f>
        <v>2015</v>
      </c>
      <c r="D451" s="3" t="str">
        <f t="shared" ref="D451:D514" si="60">TEXT(A451,"dddd")</f>
        <v>Tuesday</v>
      </c>
      <c r="E451">
        <v>125060.70789999999</v>
      </c>
      <c r="F451">
        <v>136375.15270000001</v>
      </c>
      <c r="G451">
        <v>3312</v>
      </c>
      <c r="H451" s="1">
        <f t="shared" ref="H451:H514" si="61">E451/G451</f>
        <v>37.759875573671493</v>
      </c>
      <c r="I451" s="1" t="str">
        <f t="shared" ref="I451:I514" si="62">IF(H451&lt;PERCENTILE(H451:H1503,0.33),"Low", IF(H451&gt;PERCENTILE(H451:H1503,0.67),"High","Medium"))</f>
        <v>Medium</v>
      </c>
      <c r="J451">
        <f t="shared" ref="J451:J514" si="63">(E451-F451)/E451 *100</f>
        <v>-9.0471619663685061</v>
      </c>
      <c r="K451">
        <f t="shared" ref="K451:K514" si="64">F451/G451</f>
        <v>41.176072675120771</v>
      </c>
      <c r="L451">
        <f t="shared" ref="L451:L514" si="65">(H451-K451)/H451 *100</f>
        <v>-9.0471619663685026</v>
      </c>
    </row>
    <row r="452" spans="1:12" x14ac:dyDescent="0.25">
      <c r="A452" s="3">
        <v>42088</v>
      </c>
      <c r="B452" s="3" t="str">
        <f t="shared" si="58"/>
        <v>Mar</v>
      </c>
      <c r="C452" s="3" t="str">
        <f t="shared" si="59"/>
        <v>2015</v>
      </c>
      <c r="D452" s="3" t="str">
        <f t="shared" si="60"/>
        <v>Wednesday</v>
      </c>
      <c r="E452">
        <v>253218.83119999999</v>
      </c>
      <c r="F452">
        <v>276194.82949999999</v>
      </c>
      <c r="G452">
        <v>6704</v>
      </c>
      <c r="H452" s="1">
        <f t="shared" si="61"/>
        <v>37.771305369928399</v>
      </c>
      <c r="I452" s="1" t="str">
        <f t="shared" si="62"/>
        <v>Medium</v>
      </c>
      <c r="J452">
        <f t="shared" si="63"/>
        <v>-9.0735741062847186</v>
      </c>
      <c r="K452">
        <f t="shared" si="64"/>
        <v>41.198512753579948</v>
      </c>
      <c r="L452">
        <f t="shared" si="65"/>
        <v>-9.073574106284708</v>
      </c>
    </row>
    <row r="453" spans="1:12" x14ac:dyDescent="0.25">
      <c r="A453" s="3">
        <v>42089</v>
      </c>
      <c r="B453" s="3" t="str">
        <f t="shared" si="58"/>
        <v>Mar</v>
      </c>
      <c r="C453" s="3" t="str">
        <f t="shared" si="59"/>
        <v>2015</v>
      </c>
      <c r="D453" s="3" t="str">
        <f t="shared" si="60"/>
        <v>Thursday</v>
      </c>
      <c r="E453">
        <v>229184.4719</v>
      </c>
      <c r="F453">
        <v>250361.1502</v>
      </c>
      <c r="G453">
        <v>6077</v>
      </c>
      <c r="H453" s="1">
        <f t="shared" si="61"/>
        <v>37.713423054138559</v>
      </c>
      <c r="I453" s="1" t="str">
        <f t="shared" si="62"/>
        <v>Medium</v>
      </c>
      <c r="J453">
        <f t="shared" si="63"/>
        <v>-9.2400144409609108</v>
      </c>
      <c r="K453">
        <f t="shared" si="64"/>
        <v>41.198148790521643</v>
      </c>
      <c r="L453">
        <f t="shared" si="65"/>
        <v>-9.2400144409609091</v>
      </c>
    </row>
    <row r="454" spans="1:12" x14ac:dyDescent="0.25">
      <c r="A454" s="3">
        <v>42090</v>
      </c>
      <c r="B454" s="3" t="str">
        <f t="shared" si="58"/>
        <v>Mar</v>
      </c>
      <c r="C454" s="3" t="str">
        <f t="shared" si="59"/>
        <v>2015</v>
      </c>
      <c r="D454" s="3" t="str">
        <f t="shared" si="60"/>
        <v>Friday</v>
      </c>
      <c r="E454">
        <v>354191.35100000002</v>
      </c>
      <c r="F454">
        <v>386464.65130000003</v>
      </c>
      <c r="G454">
        <v>9386</v>
      </c>
      <c r="H454" s="1">
        <f t="shared" si="61"/>
        <v>37.736133709780525</v>
      </c>
      <c r="I454" s="1" t="str">
        <f t="shared" si="62"/>
        <v>Medium</v>
      </c>
      <c r="J454">
        <f t="shared" si="63"/>
        <v>-9.1118261947621644</v>
      </c>
      <c r="K454">
        <f t="shared" si="64"/>
        <v>41.174584626038786</v>
      </c>
      <c r="L454">
        <f t="shared" si="65"/>
        <v>-9.1118261947621768</v>
      </c>
    </row>
    <row r="455" spans="1:12" x14ac:dyDescent="0.25">
      <c r="A455" s="3">
        <v>42091</v>
      </c>
      <c r="B455" s="3" t="str">
        <f t="shared" si="58"/>
        <v>Mar</v>
      </c>
      <c r="C455" s="3" t="str">
        <f t="shared" si="59"/>
        <v>2015</v>
      </c>
      <c r="D455" s="3" t="str">
        <f t="shared" si="60"/>
        <v>Saturday</v>
      </c>
      <c r="E455">
        <v>459484.6666</v>
      </c>
      <c r="F455">
        <v>501362.57250000001</v>
      </c>
      <c r="G455">
        <v>12181</v>
      </c>
      <c r="H455" s="1">
        <f t="shared" si="61"/>
        <v>37.721424070273379</v>
      </c>
      <c r="I455" s="1" t="str">
        <f t="shared" si="62"/>
        <v>Medium</v>
      </c>
      <c r="J455">
        <f t="shared" si="63"/>
        <v>-9.114103025434888</v>
      </c>
      <c r="K455">
        <f t="shared" si="64"/>
        <v>41.15939352269929</v>
      </c>
      <c r="L455">
        <f t="shared" si="65"/>
        <v>-9.1141030254348898</v>
      </c>
    </row>
    <row r="456" spans="1:12" x14ac:dyDescent="0.25">
      <c r="A456" s="3">
        <v>42092</v>
      </c>
      <c r="B456" s="3" t="str">
        <f t="shared" si="58"/>
        <v>Mar</v>
      </c>
      <c r="C456" s="3" t="str">
        <f t="shared" si="59"/>
        <v>2015</v>
      </c>
      <c r="D456" s="3" t="str">
        <f t="shared" si="60"/>
        <v>Sunday</v>
      </c>
      <c r="E456">
        <v>224102.8885</v>
      </c>
      <c r="F456">
        <v>244359.8075</v>
      </c>
      <c r="G456">
        <v>5937</v>
      </c>
      <c r="H456" s="1">
        <f t="shared" si="61"/>
        <v>37.746823058783896</v>
      </c>
      <c r="I456" s="1" t="str">
        <f t="shared" si="62"/>
        <v>Medium</v>
      </c>
      <c r="J456">
        <f t="shared" si="63"/>
        <v>-9.0391155310789291</v>
      </c>
      <c r="K456">
        <f t="shared" si="64"/>
        <v>41.158802004379318</v>
      </c>
      <c r="L456">
        <f t="shared" si="65"/>
        <v>-9.0391155310789415</v>
      </c>
    </row>
    <row r="457" spans="1:12" x14ac:dyDescent="0.25">
      <c r="A457" s="3">
        <v>42093</v>
      </c>
      <c r="B457" s="3" t="str">
        <f t="shared" si="58"/>
        <v>Mar</v>
      </c>
      <c r="C457" s="3" t="str">
        <f t="shared" si="59"/>
        <v>2015</v>
      </c>
      <c r="D457" s="3" t="str">
        <f t="shared" si="60"/>
        <v>Monday</v>
      </c>
      <c r="E457">
        <v>215203.5588</v>
      </c>
      <c r="F457">
        <v>234819.4474</v>
      </c>
      <c r="G457">
        <v>5706</v>
      </c>
      <c r="H457" s="1">
        <f t="shared" si="61"/>
        <v>37.715309989484751</v>
      </c>
      <c r="I457" s="1" t="str">
        <f t="shared" si="62"/>
        <v>Medium</v>
      </c>
      <c r="J457">
        <f t="shared" si="63"/>
        <v>-9.115039132893747</v>
      </c>
      <c r="K457">
        <f t="shared" si="64"/>
        <v>41.15307525411847</v>
      </c>
      <c r="L457">
        <f t="shared" si="65"/>
        <v>-9.1150391328937435</v>
      </c>
    </row>
    <row r="458" spans="1:12" x14ac:dyDescent="0.25">
      <c r="A458" s="3">
        <v>42094</v>
      </c>
      <c r="B458" s="3" t="str">
        <f t="shared" si="58"/>
        <v>Mar</v>
      </c>
      <c r="C458" s="3" t="str">
        <f t="shared" si="59"/>
        <v>2015</v>
      </c>
      <c r="D458" s="3" t="str">
        <f t="shared" si="60"/>
        <v>Tuesday</v>
      </c>
      <c r="E458">
        <v>355534.91200000001</v>
      </c>
      <c r="F458">
        <v>386988.91470000002</v>
      </c>
      <c r="G458">
        <v>9421</v>
      </c>
      <c r="H458" s="1">
        <f t="shared" si="61"/>
        <v>37.738553444432654</v>
      </c>
      <c r="I458" s="1" t="str">
        <f t="shared" si="62"/>
        <v>Medium</v>
      </c>
      <c r="J458">
        <f t="shared" si="63"/>
        <v>-8.8469519134030943</v>
      </c>
      <c r="K458">
        <f t="shared" si="64"/>
        <v>41.077265120475538</v>
      </c>
      <c r="L458">
        <f t="shared" si="65"/>
        <v>-8.8469519134030943</v>
      </c>
    </row>
    <row r="459" spans="1:12" x14ac:dyDescent="0.25">
      <c r="A459" s="3">
        <v>42095</v>
      </c>
      <c r="B459" s="3" t="str">
        <f t="shared" si="58"/>
        <v>Apr</v>
      </c>
      <c r="C459" s="3" t="str">
        <f t="shared" si="59"/>
        <v>2015</v>
      </c>
      <c r="D459" s="3" t="str">
        <f t="shared" si="60"/>
        <v>Wednesday</v>
      </c>
      <c r="E459">
        <v>498894.34389999998</v>
      </c>
      <c r="F459">
        <v>542483.8358</v>
      </c>
      <c r="G459">
        <v>13207</v>
      </c>
      <c r="H459" s="1">
        <f t="shared" si="61"/>
        <v>37.774993859317028</v>
      </c>
      <c r="I459" s="1" t="str">
        <f t="shared" si="62"/>
        <v>Medium</v>
      </c>
      <c r="J459">
        <f t="shared" si="63"/>
        <v>-8.7372190991881116</v>
      </c>
      <c r="K459">
        <f t="shared" si="64"/>
        <v>41.075477837510412</v>
      </c>
      <c r="L459">
        <f t="shared" si="65"/>
        <v>-8.7372190991881116</v>
      </c>
    </row>
    <row r="460" spans="1:12" x14ac:dyDescent="0.25">
      <c r="A460" s="3">
        <v>42096</v>
      </c>
      <c r="B460" s="3" t="str">
        <f t="shared" si="58"/>
        <v>Apr</v>
      </c>
      <c r="C460" s="3" t="str">
        <f t="shared" si="59"/>
        <v>2015</v>
      </c>
      <c r="D460" s="3" t="str">
        <f t="shared" si="60"/>
        <v>Thursday</v>
      </c>
      <c r="E460">
        <v>715032.1899</v>
      </c>
      <c r="F460">
        <v>777522.19279999996</v>
      </c>
      <c r="G460">
        <v>18936</v>
      </c>
      <c r="H460" s="1">
        <f t="shared" si="61"/>
        <v>37.760466302281365</v>
      </c>
      <c r="I460" s="1" t="str">
        <f t="shared" si="62"/>
        <v>Medium</v>
      </c>
      <c r="J460">
        <f t="shared" si="63"/>
        <v>-8.7394670873124518</v>
      </c>
      <c r="K460">
        <f t="shared" si="64"/>
        <v>41.060529826784958</v>
      </c>
      <c r="L460">
        <f t="shared" si="65"/>
        <v>-8.7394670873124607</v>
      </c>
    </row>
    <row r="461" spans="1:12" x14ac:dyDescent="0.25">
      <c r="A461" s="3">
        <v>42097</v>
      </c>
      <c r="B461" s="3" t="str">
        <f t="shared" si="58"/>
        <v>Apr</v>
      </c>
      <c r="C461" s="3" t="str">
        <f t="shared" si="59"/>
        <v>2015</v>
      </c>
      <c r="D461" s="3" t="str">
        <f t="shared" si="60"/>
        <v>Friday</v>
      </c>
      <c r="E461">
        <v>510289.2156</v>
      </c>
      <c r="F461">
        <v>554159.81940000004</v>
      </c>
      <c r="G461">
        <v>13503</v>
      </c>
      <c r="H461" s="1">
        <f t="shared" si="61"/>
        <v>37.790803199289044</v>
      </c>
      <c r="I461" s="1" t="str">
        <f t="shared" si="62"/>
        <v>Medium</v>
      </c>
      <c r="J461">
        <f t="shared" si="63"/>
        <v>-8.5972037932286742</v>
      </c>
      <c r="K461">
        <f t="shared" si="64"/>
        <v>41.039755565429907</v>
      </c>
      <c r="L461">
        <f t="shared" si="65"/>
        <v>-8.5972037932286796</v>
      </c>
    </row>
    <row r="462" spans="1:12" x14ac:dyDescent="0.25">
      <c r="A462" s="3">
        <v>42098</v>
      </c>
      <c r="B462" s="3" t="str">
        <f t="shared" si="58"/>
        <v>Apr</v>
      </c>
      <c r="C462" s="3" t="str">
        <f t="shared" si="59"/>
        <v>2015</v>
      </c>
      <c r="D462" s="3" t="str">
        <f t="shared" si="60"/>
        <v>Saturday</v>
      </c>
      <c r="E462">
        <v>400302.03950000001</v>
      </c>
      <c r="F462">
        <v>434872.72889999999</v>
      </c>
      <c r="G462">
        <v>10600</v>
      </c>
      <c r="H462" s="1">
        <f t="shared" si="61"/>
        <v>37.764343349056603</v>
      </c>
      <c r="I462" s="1" t="str">
        <f t="shared" si="62"/>
        <v>Medium</v>
      </c>
      <c r="J462">
        <f t="shared" si="63"/>
        <v>-8.6361512030217806</v>
      </c>
      <c r="K462">
        <f t="shared" si="64"/>
        <v>41.02572914150943</v>
      </c>
      <c r="L462">
        <f t="shared" si="65"/>
        <v>-8.6361512030217806</v>
      </c>
    </row>
    <row r="463" spans="1:12" x14ac:dyDescent="0.25">
      <c r="A463" s="3">
        <v>42099</v>
      </c>
      <c r="B463" s="3" t="str">
        <f t="shared" si="58"/>
        <v>Apr</v>
      </c>
      <c r="C463" s="3" t="str">
        <f t="shared" si="59"/>
        <v>2015</v>
      </c>
      <c r="D463" s="3" t="str">
        <f t="shared" si="60"/>
        <v>Sunday</v>
      </c>
      <c r="E463">
        <v>135578.2034</v>
      </c>
      <c r="F463">
        <v>147335.92509999999</v>
      </c>
      <c r="G463">
        <v>3591</v>
      </c>
      <c r="H463" s="1">
        <f t="shared" si="61"/>
        <v>37.75499955444166</v>
      </c>
      <c r="I463" s="1" t="str">
        <f t="shared" si="62"/>
        <v>Medium</v>
      </c>
      <c r="J463">
        <f t="shared" si="63"/>
        <v>-8.6722802081326247</v>
      </c>
      <c r="K463">
        <f t="shared" si="64"/>
        <v>41.029218908382063</v>
      </c>
      <c r="L463">
        <f t="shared" si="65"/>
        <v>-8.6722802081326194</v>
      </c>
    </row>
    <row r="464" spans="1:12" x14ac:dyDescent="0.25">
      <c r="A464" s="3">
        <v>42100</v>
      </c>
      <c r="B464" s="3" t="str">
        <f t="shared" si="58"/>
        <v>Apr</v>
      </c>
      <c r="C464" s="3" t="str">
        <f t="shared" si="59"/>
        <v>2015</v>
      </c>
      <c r="D464" s="3" t="str">
        <f t="shared" si="60"/>
        <v>Monday</v>
      </c>
      <c r="E464">
        <v>182466.25520000001</v>
      </c>
      <c r="F464">
        <v>198405.2291</v>
      </c>
      <c r="G464">
        <v>4836</v>
      </c>
      <c r="H464" s="1">
        <f t="shared" si="61"/>
        <v>37.730822001654261</v>
      </c>
      <c r="I464" s="1" t="str">
        <f t="shared" si="62"/>
        <v>Medium</v>
      </c>
      <c r="J464">
        <f t="shared" si="63"/>
        <v>-8.7352995119724373</v>
      </c>
      <c r="K464">
        <f t="shared" si="64"/>
        <v>41.026722311827953</v>
      </c>
      <c r="L464">
        <f t="shared" si="65"/>
        <v>-8.7352995119724337</v>
      </c>
    </row>
    <row r="465" spans="1:12" x14ac:dyDescent="0.25">
      <c r="A465" s="3">
        <v>42101</v>
      </c>
      <c r="B465" s="3" t="str">
        <f t="shared" si="58"/>
        <v>Apr</v>
      </c>
      <c r="C465" s="3" t="str">
        <f t="shared" si="59"/>
        <v>2015</v>
      </c>
      <c r="D465" s="3" t="str">
        <f t="shared" si="60"/>
        <v>Tuesday</v>
      </c>
      <c r="E465">
        <v>176814.20259999999</v>
      </c>
      <c r="F465">
        <v>178390.14910000001</v>
      </c>
      <c r="G465">
        <v>4348</v>
      </c>
      <c r="H465" s="1">
        <f t="shared" si="61"/>
        <v>40.665639972401102</v>
      </c>
      <c r="I465" s="1" t="str">
        <f t="shared" si="62"/>
        <v>High</v>
      </c>
      <c r="J465">
        <f t="shared" si="63"/>
        <v>-0.89130085526286784</v>
      </c>
      <c r="K465">
        <f t="shared" si="64"/>
        <v>41.028093169273234</v>
      </c>
      <c r="L465">
        <f t="shared" si="65"/>
        <v>-0.89130085526287206</v>
      </c>
    </row>
    <row r="466" spans="1:12" x14ac:dyDescent="0.25">
      <c r="A466" s="3">
        <v>42102</v>
      </c>
      <c r="B466" s="3" t="str">
        <f t="shared" si="58"/>
        <v>Apr</v>
      </c>
      <c r="C466" s="3" t="str">
        <f t="shared" si="59"/>
        <v>2015</v>
      </c>
      <c r="D466" s="3" t="str">
        <f t="shared" si="60"/>
        <v>Wednesday</v>
      </c>
      <c r="E466">
        <v>100917.6716</v>
      </c>
      <c r="F466">
        <v>100579.1289</v>
      </c>
      <c r="G466">
        <v>2451</v>
      </c>
      <c r="H466" s="1">
        <f t="shared" si="61"/>
        <v>41.174080620155038</v>
      </c>
      <c r="I466" s="1" t="str">
        <f t="shared" si="62"/>
        <v>High</v>
      </c>
      <c r="J466">
        <f t="shared" si="63"/>
        <v>0.33546423994190272</v>
      </c>
      <c r="K466">
        <f t="shared" si="64"/>
        <v>41.035956303549568</v>
      </c>
      <c r="L466">
        <f t="shared" si="65"/>
        <v>0.33546423994190472</v>
      </c>
    </row>
    <row r="467" spans="1:12" x14ac:dyDescent="0.25">
      <c r="A467" s="3">
        <v>42103</v>
      </c>
      <c r="B467" s="3" t="str">
        <f t="shared" si="58"/>
        <v>Apr</v>
      </c>
      <c r="C467" s="3" t="str">
        <f t="shared" si="59"/>
        <v>2015</v>
      </c>
      <c r="D467" s="3" t="str">
        <f t="shared" si="60"/>
        <v>Thursday</v>
      </c>
      <c r="E467">
        <v>74690.672730000006</v>
      </c>
      <c r="F467">
        <v>74427.58597</v>
      </c>
      <c r="G467">
        <v>1814</v>
      </c>
      <c r="H467" s="1">
        <f t="shared" si="61"/>
        <v>41.17457151598677</v>
      </c>
      <c r="I467" s="1" t="str">
        <f t="shared" si="62"/>
        <v>High</v>
      </c>
      <c r="J467">
        <f t="shared" si="63"/>
        <v>0.35223509225983318</v>
      </c>
      <c r="K467">
        <f t="shared" si="64"/>
        <v>41.029540226019847</v>
      </c>
      <c r="L467">
        <f t="shared" si="65"/>
        <v>0.35223509225982302</v>
      </c>
    </row>
    <row r="468" spans="1:12" x14ac:dyDescent="0.25">
      <c r="A468" s="3">
        <v>42104</v>
      </c>
      <c r="B468" s="3" t="str">
        <f t="shared" si="58"/>
        <v>Apr</v>
      </c>
      <c r="C468" s="3" t="str">
        <f t="shared" si="59"/>
        <v>2015</v>
      </c>
      <c r="D468" s="3" t="str">
        <f t="shared" si="60"/>
        <v>Friday</v>
      </c>
      <c r="E468">
        <v>114067.07709999999</v>
      </c>
      <c r="F468">
        <v>113653.9736</v>
      </c>
      <c r="G468">
        <v>2770</v>
      </c>
      <c r="H468" s="1">
        <f t="shared" si="61"/>
        <v>41.179450216606497</v>
      </c>
      <c r="I468" s="1" t="str">
        <f t="shared" si="62"/>
        <v>High</v>
      </c>
      <c r="J468">
        <f t="shared" si="63"/>
        <v>0.36215839881461942</v>
      </c>
      <c r="K468">
        <f t="shared" si="64"/>
        <v>41.030315379061371</v>
      </c>
      <c r="L468">
        <f t="shared" si="65"/>
        <v>0.36215839881462247</v>
      </c>
    </row>
    <row r="469" spans="1:12" x14ac:dyDescent="0.25">
      <c r="A469" s="3">
        <v>42105</v>
      </c>
      <c r="B469" s="3" t="str">
        <f t="shared" si="58"/>
        <v>Apr</v>
      </c>
      <c r="C469" s="3" t="str">
        <f t="shared" si="59"/>
        <v>2015</v>
      </c>
      <c r="D469" s="3" t="str">
        <f t="shared" si="60"/>
        <v>Saturday</v>
      </c>
      <c r="E469">
        <v>126507.8009</v>
      </c>
      <c r="F469">
        <v>126043.7692</v>
      </c>
      <c r="G469">
        <v>3072</v>
      </c>
      <c r="H469" s="1">
        <f t="shared" si="61"/>
        <v>41.18092477213542</v>
      </c>
      <c r="I469" s="1" t="str">
        <f t="shared" si="62"/>
        <v>High</v>
      </c>
      <c r="J469">
        <f t="shared" si="63"/>
        <v>0.3668008586812822</v>
      </c>
      <c r="K469">
        <f t="shared" si="64"/>
        <v>41.029872786458334</v>
      </c>
      <c r="L469">
        <f t="shared" si="65"/>
        <v>0.36680085868128215</v>
      </c>
    </row>
    <row r="470" spans="1:12" x14ac:dyDescent="0.25">
      <c r="A470" s="3">
        <v>42106</v>
      </c>
      <c r="B470" s="3" t="str">
        <f t="shared" si="58"/>
        <v>Apr</v>
      </c>
      <c r="C470" s="3" t="str">
        <f t="shared" si="59"/>
        <v>2015</v>
      </c>
      <c r="D470" s="3" t="str">
        <f t="shared" si="60"/>
        <v>Sunday</v>
      </c>
      <c r="E470">
        <v>79648.629390000002</v>
      </c>
      <c r="F470">
        <v>79349.402449999994</v>
      </c>
      <c r="G470">
        <v>1934</v>
      </c>
      <c r="H470" s="1">
        <f t="shared" si="61"/>
        <v>41.183365765253363</v>
      </c>
      <c r="I470" s="1" t="str">
        <f t="shared" si="62"/>
        <v>High</v>
      </c>
      <c r="J470">
        <f t="shared" si="63"/>
        <v>0.37568372775737446</v>
      </c>
      <c r="K470">
        <f t="shared" si="64"/>
        <v>41.0286465615305</v>
      </c>
      <c r="L470">
        <f t="shared" si="65"/>
        <v>0.37568372775738523</v>
      </c>
    </row>
    <row r="471" spans="1:12" x14ac:dyDescent="0.25">
      <c r="A471" s="3">
        <v>42107</v>
      </c>
      <c r="B471" s="3" t="str">
        <f t="shared" si="58"/>
        <v>Apr</v>
      </c>
      <c r="C471" s="3" t="str">
        <f t="shared" si="59"/>
        <v>2015</v>
      </c>
      <c r="D471" s="3" t="str">
        <f t="shared" si="60"/>
        <v>Monday</v>
      </c>
      <c r="E471">
        <v>83137.432430000001</v>
      </c>
      <c r="F471">
        <v>82700.354170000006</v>
      </c>
      <c r="G471">
        <v>2019</v>
      </c>
      <c r="H471" s="1">
        <f t="shared" si="61"/>
        <v>41.177529683011393</v>
      </c>
      <c r="I471" s="1" t="str">
        <f t="shared" si="62"/>
        <v>High</v>
      </c>
      <c r="J471">
        <f t="shared" si="63"/>
        <v>0.52572980332055075</v>
      </c>
      <c r="K471">
        <f t="shared" si="64"/>
        <v>40.961047137196637</v>
      </c>
      <c r="L471">
        <f t="shared" si="65"/>
        <v>0.52572980332054819</v>
      </c>
    </row>
    <row r="472" spans="1:12" x14ac:dyDescent="0.25">
      <c r="A472" s="3">
        <v>42108</v>
      </c>
      <c r="B472" s="3" t="str">
        <f t="shared" si="58"/>
        <v>Apr</v>
      </c>
      <c r="C472" s="3" t="str">
        <f t="shared" si="59"/>
        <v>2015</v>
      </c>
      <c r="D472" s="3" t="str">
        <f t="shared" si="60"/>
        <v>Tuesday</v>
      </c>
      <c r="E472">
        <v>40776.02706</v>
      </c>
      <c r="F472">
        <v>39940.19958</v>
      </c>
      <c r="G472">
        <v>979</v>
      </c>
      <c r="H472" s="1">
        <f t="shared" si="61"/>
        <v>41.650691583248211</v>
      </c>
      <c r="I472" s="1" t="str">
        <f t="shared" si="62"/>
        <v>High</v>
      </c>
      <c r="J472">
        <f t="shared" si="63"/>
        <v>2.0498011705998702</v>
      </c>
      <c r="K472">
        <f t="shared" si="64"/>
        <v>40.796935219611846</v>
      </c>
      <c r="L472">
        <f t="shared" si="65"/>
        <v>2.0498011705998724</v>
      </c>
    </row>
    <row r="473" spans="1:12" x14ac:dyDescent="0.25">
      <c r="A473" s="3">
        <v>42109</v>
      </c>
      <c r="B473" s="3" t="str">
        <f t="shared" si="58"/>
        <v>Apr</v>
      </c>
      <c r="C473" s="3" t="str">
        <f t="shared" si="59"/>
        <v>2015</v>
      </c>
      <c r="D473" s="3" t="str">
        <f t="shared" si="60"/>
        <v>Wednesday</v>
      </c>
      <c r="E473">
        <v>58278.457929999997</v>
      </c>
      <c r="F473">
        <v>56969.922590000002</v>
      </c>
      <c r="G473">
        <v>1398</v>
      </c>
      <c r="H473" s="1">
        <f t="shared" si="61"/>
        <v>41.687022839771096</v>
      </c>
      <c r="I473" s="1" t="str">
        <f t="shared" si="62"/>
        <v>High</v>
      </c>
      <c r="J473">
        <f t="shared" si="63"/>
        <v>2.2453156560383185</v>
      </c>
      <c r="K473">
        <f t="shared" si="64"/>
        <v>40.751017589413451</v>
      </c>
      <c r="L473">
        <f t="shared" si="65"/>
        <v>2.2453156560383074</v>
      </c>
    </row>
    <row r="474" spans="1:12" x14ac:dyDescent="0.25">
      <c r="A474" s="3">
        <v>42110</v>
      </c>
      <c r="B474" s="3" t="str">
        <f t="shared" si="58"/>
        <v>Apr</v>
      </c>
      <c r="C474" s="3" t="str">
        <f t="shared" si="59"/>
        <v>2015</v>
      </c>
      <c r="D474" s="3" t="str">
        <f t="shared" si="60"/>
        <v>Thursday</v>
      </c>
      <c r="E474">
        <v>50000.101439999999</v>
      </c>
      <c r="F474">
        <v>48827.88538</v>
      </c>
      <c r="G474">
        <v>1198</v>
      </c>
      <c r="H474" s="1">
        <f t="shared" si="61"/>
        <v>41.736311719532551</v>
      </c>
      <c r="I474" s="1" t="str">
        <f t="shared" si="62"/>
        <v>High</v>
      </c>
      <c r="J474">
        <f t="shared" si="63"/>
        <v>2.3444273636257624</v>
      </c>
      <c r="K474">
        <f t="shared" si="64"/>
        <v>40.757834207011683</v>
      </c>
      <c r="L474">
        <f t="shared" si="65"/>
        <v>2.3444273636257651</v>
      </c>
    </row>
    <row r="475" spans="1:12" x14ac:dyDescent="0.25">
      <c r="A475" s="3">
        <v>42111</v>
      </c>
      <c r="B475" s="3" t="str">
        <f t="shared" si="58"/>
        <v>Apr</v>
      </c>
      <c r="C475" s="3" t="str">
        <f t="shared" si="59"/>
        <v>2015</v>
      </c>
      <c r="D475" s="3" t="str">
        <f t="shared" si="60"/>
        <v>Friday</v>
      </c>
      <c r="E475">
        <v>103911.9191</v>
      </c>
      <c r="F475">
        <v>101408.94960000001</v>
      </c>
      <c r="G475">
        <v>2485</v>
      </c>
      <c r="H475" s="1">
        <f t="shared" si="61"/>
        <v>41.815661609657944</v>
      </c>
      <c r="I475" s="1" t="str">
        <f t="shared" si="62"/>
        <v>High</v>
      </c>
      <c r="J475">
        <f t="shared" si="63"/>
        <v>2.4087414818999258</v>
      </c>
      <c r="K475">
        <f t="shared" si="64"/>
        <v>40.808430422535217</v>
      </c>
      <c r="L475">
        <f t="shared" si="65"/>
        <v>2.4087414818999111</v>
      </c>
    </row>
    <row r="476" spans="1:12" x14ac:dyDescent="0.25">
      <c r="A476" s="3">
        <v>42112</v>
      </c>
      <c r="B476" s="3" t="str">
        <f t="shared" si="58"/>
        <v>Apr</v>
      </c>
      <c r="C476" s="3" t="str">
        <f t="shared" si="59"/>
        <v>2015</v>
      </c>
      <c r="D476" s="3" t="str">
        <f t="shared" si="60"/>
        <v>Saturday</v>
      </c>
      <c r="E476">
        <v>132843.22260000001</v>
      </c>
      <c r="F476">
        <v>129545.5321</v>
      </c>
      <c r="G476">
        <v>3172</v>
      </c>
      <c r="H476" s="1">
        <f t="shared" si="61"/>
        <v>41.879956683480458</v>
      </c>
      <c r="I476" s="1" t="str">
        <f t="shared" si="62"/>
        <v>High</v>
      </c>
      <c r="J476">
        <f t="shared" si="63"/>
        <v>2.4823927299095883</v>
      </c>
      <c r="K476">
        <f t="shared" si="64"/>
        <v>40.84033168348045</v>
      </c>
      <c r="L476">
        <f t="shared" si="65"/>
        <v>2.4823927299095985</v>
      </c>
    </row>
    <row r="477" spans="1:12" x14ac:dyDescent="0.25">
      <c r="A477" s="3">
        <v>42113</v>
      </c>
      <c r="B477" s="3" t="str">
        <f t="shared" si="58"/>
        <v>Apr</v>
      </c>
      <c r="C477" s="3" t="str">
        <f t="shared" si="59"/>
        <v>2015</v>
      </c>
      <c r="D477" s="3" t="str">
        <f t="shared" si="60"/>
        <v>Sunday</v>
      </c>
      <c r="E477">
        <v>62786.611279999997</v>
      </c>
      <c r="F477">
        <v>61213.25591</v>
      </c>
      <c r="G477">
        <v>1497</v>
      </c>
      <c r="H477" s="1">
        <f t="shared" si="61"/>
        <v>41.941624101536405</v>
      </c>
      <c r="I477" s="1" t="str">
        <f t="shared" si="62"/>
        <v>High</v>
      </c>
      <c r="J477">
        <f t="shared" si="63"/>
        <v>2.5058771893000267</v>
      </c>
      <c r="K477">
        <f t="shared" si="64"/>
        <v>40.890618510354038</v>
      </c>
      <c r="L477">
        <f t="shared" si="65"/>
        <v>2.505877189300036</v>
      </c>
    </row>
    <row r="478" spans="1:12" x14ac:dyDescent="0.25">
      <c r="A478" s="3">
        <v>42114</v>
      </c>
      <c r="B478" s="3" t="str">
        <f t="shared" si="58"/>
        <v>Apr</v>
      </c>
      <c r="C478" s="3" t="str">
        <f t="shared" si="59"/>
        <v>2015</v>
      </c>
      <c r="D478" s="3" t="str">
        <f t="shared" si="60"/>
        <v>Monday</v>
      </c>
      <c r="E478">
        <v>57233.406640000001</v>
      </c>
      <c r="F478">
        <v>55706.87543</v>
      </c>
      <c r="G478">
        <v>1365</v>
      </c>
      <c r="H478" s="1">
        <f t="shared" si="61"/>
        <v>41.929235633699633</v>
      </c>
      <c r="I478" s="1" t="str">
        <f t="shared" si="62"/>
        <v>High</v>
      </c>
      <c r="J478">
        <f t="shared" si="63"/>
        <v>2.6672031242206713</v>
      </c>
      <c r="K478">
        <f t="shared" si="64"/>
        <v>40.81089775091575</v>
      </c>
      <c r="L478">
        <f t="shared" si="65"/>
        <v>2.6672031242206717</v>
      </c>
    </row>
    <row r="479" spans="1:12" x14ac:dyDescent="0.25">
      <c r="A479" s="3">
        <v>42115</v>
      </c>
      <c r="B479" s="3" t="str">
        <f t="shared" si="58"/>
        <v>Apr</v>
      </c>
      <c r="C479" s="3" t="str">
        <f t="shared" si="59"/>
        <v>2015</v>
      </c>
      <c r="D479" s="3" t="str">
        <f t="shared" si="60"/>
        <v>Tuesday</v>
      </c>
      <c r="E479">
        <v>56874.345459999997</v>
      </c>
      <c r="F479">
        <v>55172.17123</v>
      </c>
      <c r="G479">
        <v>1353</v>
      </c>
      <c r="H479" s="1">
        <f t="shared" si="61"/>
        <v>42.03573204730229</v>
      </c>
      <c r="I479" s="1" t="str">
        <f t="shared" si="62"/>
        <v>High</v>
      </c>
      <c r="J479">
        <f t="shared" si="63"/>
        <v>2.9928682541008658</v>
      </c>
      <c r="K479">
        <f t="shared" si="64"/>
        <v>40.777657967479676</v>
      </c>
      <c r="L479">
        <f t="shared" si="65"/>
        <v>2.9928682541008631</v>
      </c>
    </row>
    <row r="480" spans="1:12" x14ac:dyDescent="0.25">
      <c r="A480" s="3">
        <v>42116</v>
      </c>
      <c r="B480" s="3" t="str">
        <f t="shared" si="58"/>
        <v>Apr</v>
      </c>
      <c r="C480" s="3" t="str">
        <f t="shared" si="59"/>
        <v>2015</v>
      </c>
      <c r="D480" s="3" t="str">
        <f t="shared" si="60"/>
        <v>Wednesday</v>
      </c>
      <c r="E480">
        <v>132737.73699999999</v>
      </c>
      <c r="F480">
        <v>140263.9301</v>
      </c>
      <c r="G480">
        <v>3439</v>
      </c>
      <c r="H480" s="1">
        <f t="shared" si="61"/>
        <v>38.597771735969758</v>
      </c>
      <c r="I480" s="1" t="str">
        <f t="shared" si="62"/>
        <v>Medium</v>
      </c>
      <c r="J480">
        <f t="shared" si="63"/>
        <v>-5.6699724359471366</v>
      </c>
      <c r="K480">
        <f t="shared" si="64"/>
        <v>40.78625475428904</v>
      </c>
      <c r="L480">
        <f t="shared" si="65"/>
        <v>-5.669972435947142</v>
      </c>
    </row>
    <row r="481" spans="1:12" x14ac:dyDescent="0.25">
      <c r="A481" s="3">
        <v>42117</v>
      </c>
      <c r="B481" s="3" t="str">
        <f t="shared" si="58"/>
        <v>Apr</v>
      </c>
      <c r="C481" s="3" t="str">
        <f t="shared" si="59"/>
        <v>2015</v>
      </c>
      <c r="D481" s="3" t="str">
        <f t="shared" si="60"/>
        <v>Thursday</v>
      </c>
      <c r="E481">
        <v>60310.338949999998</v>
      </c>
      <c r="F481">
        <v>58446.054929999998</v>
      </c>
      <c r="G481">
        <v>1434</v>
      </c>
      <c r="H481" s="1">
        <f t="shared" si="61"/>
        <v>42.057419072524404</v>
      </c>
      <c r="I481" s="1" t="str">
        <f t="shared" si="62"/>
        <v>High</v>
      </c>
      <c r="J481">
        <f t="shared" si="63"/>
        <v>3.091151620861516</v>
      </c>
      <c r="K481">
        <f t="shared" si="64"/>
        <v>40.757360481171546</v>
      </c>
      <c r="L481">
        <f t="shared" si="65"/>
        <v>3.0911516208615151</v>
      </c>
    </row>
    <row r="482" spans="1:12" x14ac:dyDescent="0.25">
      <c r="A482" s="3">
        <v>42118</v>
      </c>
      <c r="B482" s="3" t="str">
        <f t="shared" si="58"/>
        <v>Apr</v>
      </c>
      <c r="C482" s="3" t="str">
        <f t="shared" si="59"/>
        <v>2015</v>
      </c>
      <c r="D482" s="3" t="str">
        <f t="shared" si="60"/>
        <v>Friday</v>
      </c>
      <c r="E482">
        <v>343587.0085</v>
      </c>
      <c r="F482">
        <v>362390.59600000002</v>
      </c>
      <c r="G482">
        <v>8892</v>
      </c>
      <c r="H482" s="1">
        <f t="shared" si="61"/>
        <v>38.64001445119208</v>
      </c>
      <c r="I482" s="1" t="str">
        <f t="shared" si="62"/>
        <v>Medium</v>
      </c>
      <c r="J482">
        <f t="shared" si="63"/>
        <v>-5.4727294789436209</v>
      </c>
      <c r="K482">
        <f t="shared" si="64"/>
        <v>40.75467791273055</v>
      </c>
      <c r="L482">
        <f t="shared" si="65"/>
        <v>-5.472729478943636</v>
      </c>
    </row>
    <row r="483" spans="1:12" x14ac:dyDescent="0.25">
      <c r="A483" s="3">
        <v>42119</v>
      </c>
      <c r="B483" s="3" t="str">
        <f t="shared" si="58"/>
        <v>Apr</v>
      </c>
      <c r="C483" s="3" t="str">
        <f t="shared" si="59"/>
        <v>2015</v>
      </c>
      <c r="D483" s="3" t="str">
        <f t="shared" si="60"/>
        <v>Saturday</v>
      </c>
      <c r="E483">
        <v>496882.315</v>
      </c>
      <c r="F483">
        <v>535306.00989999995</v>
      </c>
      <c r="G483">
        <v>13144</v>
      </c>
      <c r="H483" s="1">
        <f t="shared" si="61"/>
        <v>37.802975882531953</v>
      </c>
      <c r="I483" s="1" t="str">
        <f t="shared" si="62"/>
        <v>Medium</v>
      </c>
      <c r="J483">
        <f t="shared" si="63"/>
        <v>-7.7329568270104243</v>
      </c>
      <c r="K483">
        <f t="shared" si="64"/>
        <v>40.726263686853315</v>
      </c>
      <c r="L483">
        <f t="shared" si="65"/>
        <v>-7.7329568270104314</v>
      </c>
    </row>
    <row r="484" spans="1:12" x14ac:dyDescent="0.25">
      <c r="A484" s="3">
        <v>42120</v>
      </c>
      <c r="B484" s="3" t="str">
        <f t="shared" si="58"/>
        <v>Apr</v>
      </c>
      <c r="C484" s="3" t="str">
        <f t="shared" si="59"/>
        <v>2015</v>
      </c>
      <c r="D484" s="3" t="str">
        <f t="shared" si="60"/>
        <v>Sunday</v>
      </c>
      <c r="E484">
        <v>200369.82990000001</v>
      </c>
      <c r="F484">
        <v>210964.76809999999</v>
      </c>
      <c r="G484">
        <v>5179</v>
      </c>
      <c r="H484" s="1">
        <f t="shared" si="61"/>
        <v>38.688903243869476</v>
      </c>
      <c r="I484" s="1" t="str">
        <f t="shared" si="62"/>
        <v>Medium</v>
      </c>
      <c r="J484">
        <f t="shared" si="63"/>
        <v>-5.2876913681504174</v>
      </c>
      <c r="K484">
        <f t="shared" si="64"/>
        <v>40.734653041127629</v>
      </c>
      <c r="L484">
        <f t="shared" si="65"/>
        <v>-5.2876913681504183</v>
      </c>
    </row>
    <row r="485" spans="1:12" x14ac:dyDescent="0.25">
      <c r="A485" s="3">
        <v>42121</v>
      </c>
      <c r="B485" s="3" t="str">
        <f t="shared" si="58"/>
        <v>Apr</v>
      </c>
      <c r="C485" s="3" t="str">
        <f t="shared" si="59"/>
        <v>2015</v>
      </c>
      <c r="D485" s="3" t="str">
        <f t="shared" si="60"/>
        <v>Monday</v>
      </c>
      <c r="E485">
        <v>194028.0618</v>
      </c>
      <c r="F485">
        <v>204053.49890000001</v>
      </c>
      <c r="G485">
        <v>5014</v>
      </c>
      <c r="H485" s="1">
        <f t="shared" si="61"/>
        <v>38.697260031910652</v>
      </c>
      <c r="I485" s="1" t="str">
        <f t="shared" si="62"/>
        <v>Medium</v>
      </c>
      <c r="J485">
        <f t="shared" si="63"/>
        <v>-5.1670036833816431</v>
      </c>
      <c r="K485">
        <f t="shared" si="64"/>
        <v>40.696748883127242</v>
      </c>
      <c r="L485">
        <f t="shared" si="65"/>
        <v>-5.167003683381628</v>
      </c>
    </row>
    <row r="486" spans="1:12" x14ac:dyDescent="0.25">
      <c r="A486" s="3">
        <v>42122</v>
      </c>
      <c r="B486" s="3" t="str">
        <f t="shared" si="58"/>
        <v>Apr</v>
      </c>
      <c r="C486" s="3" t="str">
        <f t="shared" si="59"/>
        <v>2015</v>
      </c>
      <c r="D486" s="3" t="str">
        <f t="shared" si="60"/>
        <v>Tuesday</v>
      </c>
      <c r="E486">
        <v>190560.57920000001</v>
      </c>
      <c r="F486">
        <v>200804.0368</v>
      </c>
      <c r="G486">
        <v>4936</v>
      </c>
      <c r="H486" s="1">
        <f t="shared" si="61"/>
        <v>38.60627617504052</v>
      </c>
      <c r="I486" s="1" t="str">
        <f t="shared" si="62"/>
        <v>Medium</v>
      </c>
      <c r="J486">
        <f t="shared" si="63"/>
        <v>-5.3754337035516286</v>
      </c>
      <c r="K486">
        <f t="shared" si="64"/>
        <v>40.681530956239868</v>
      </c>
      <c r="L486">
        <f t="shared" si="65"/>
        <v>-5.3754337035516224</v>
      </c>
    </row>
    <row r="487" spans="1:12" x14ac:dyDescent="0.25">
      <c r="A487" s="3">
        <v>42123</v>
      </c>
      <c r="B487" s="3" t="str">
        <f t="shared" si="58"/>
        <v>Apr</v>
      </c>
      <c r="C487" s="3" t="str">
        <f t="shared" si="59"/>
        <v>2015</v>
      </c>
      <c r="D487" s="3" t="str">
        <f t="shared" si="60"/>
        <v>Wednesday</v>
      </c>
      <c r="E487">
        <v>198985.3996</v>
      </c>
      <c r="F487">
        <v>209483.87580000001</v>
      </c>
      <c r="G487">
        <v>5150</v>
      </c>
      <c r="H487" s="1">
        <f t="shared" si="61"/>
        <v>38.637941669902915</v>
      </c>
      <c r="I487" s="1" t="str">
        <f t="shared" si="62"/>
        <v>Medium</v>
      </c>
      <c r="J487">
        <f t="shared" si="63"/>
        <v>-5.2760032751669312</v>
      </c>
      <c r="K487">
        <f t="shared" si="64"/>
        <v>40.676480737864082</v>
      </c>
      <c r="L487">
        <f t="shared" si="65"/>
        <v>-5.2760032751669339</v>
      </c>
    </row>
    <row r="488" spans="1:12" x14ac:dyDescent="0.25">
      <c r="A488" s="3">
        <v>42124</v>
      </c>
      <c r="B488" s="3" t="str">
        <f t="shared" si="58"/>
        <v>Apr</v>
      </c>
      <c r="C488" s="3" t="str">
        <f t="shared" si="59"/>
        <v>2015</v>
      </c>
      <c r="D488" s="3" t="str">
        <f t="shared" si="60"/>
        <v>Thursday</v>
      </c>
      <c r="E488">
        <v>385482.87199999997</v>
      </c>
      <c r="F488">
        <v>406252.00760000001</v>
      </c>
      <c r="G488">
        <v>9986</v>
      </c>
      <c r="H488" s="1">
        <f t="shared" si="61"/>
        <v>38.602330462647707</v>
      </c>
      <c r="I488" s="1" t="str">
        <f t="shared" si="62"/>
        <v>Medium</v>
      </c>
      <c r="J488">
        <f t="shared" si="63"/>
        <v>-5.387823197498653</v>
      </c>
      <c r="K488">
        <f t="shared" si="64"/>
        <v>40.682155778089324</v>
      </c>
      <c r="L488">
        <f t="shared" si="65"/>
        <v>-5.3878231974986406</v>
      </c>
    </row>
    <row r="489" spans="1:12" x14ac:dyDescent="0.25">
      <c r="A489" s="3">
        <v>42125</v>
      </c>
      <c r="B489" s="3" t="str">
        <f t="shared" si="58"/>
        <v>May</v>
      </c>
      <c r="C489" s="3" t="str">
        <f t="shared" si="59"/>
        <v>2015</v>
      </c>
      <c r="D489" s="3" t="str">
        <f t="shared" si="60"/>
        <v>Friday</v>
      </c>
      <c r="E489">
        <v>499703.41470000002</v>
      </c>
      <c r="F489">
        <v>526206.93720000004</v>
      </c>
      <c r="G489">
        <v>12937</v>
      </c>
      <c r="H489" s="1">
        <f t="shared" si="61"/>
        <v>38.62591131637938</v>
      </c>
      <c r="I489" s="1" t="str">
        <f t="shared" si="62"/>
        <v>Medium</v>
      </c>
      <c r="J489">
        <f t="shared" si="63"/>
        <v>-5.3038505882357381</v>
      </c>
      <c r="K489">
        <f t="shared" si="64"/>
        <v>40.674571940944581</v>
      </c>
      <c r="L489">
        <f t="shared" si="65"/>
        <v>-5.3038505882357354</v>
      </c>
    </row>
    <row r="490" spans="1:12" x14ac:dyDescent="0.25">
      <c r="A490" s="3">
        <v>42126</v>
      </c>
      <c r="B490" s="3" t="str">
        <f t="shared" si="58"/>
        <v>May</v>
      </c>
      <c r="C490" s="3" t="str">
        <f t="shared" si="59"/>
        <v>2015</v>
      </c>
      <c r="D490" s="3" t="str">
        <f t="shared" si="60"/>
        <v>Saturday</v>
      </c>
      <c r="E490">
        <v>461667.00390000001</v>
      </c>
      <c r="F490">
        <v>496852.80200000003</v>
      </c>
      <c r="G490">
        <v>12217</v>
      </c>
      <c r="H490" s="1">
        <f t="shared" si="61"/>
        <v>37.788901031349759</v>
      </c>
      <c r="I490" s="1" t="str">
        <f t="shared" si="62"/>
        <v>Medium</v>
      </c>
      <c r="J490">
        <f t="shared" si="63"/>
        <v>-7.6214669453876507</v>
      </c>
      <c r="K490">
        <f t="shared" si="64"/>
        <v>40.668969632479332</v>
      </c>
      <c r="L490">
        <f t="shared" si="65"/>
        <v>-7.6214669453876436</v>
      </c>
    </row>
    <row r="491" spans="1:12" x14ac:dyDescent="0.25">
      <c r="A491" s="3">
        <v>42127</v>
      </c>
      <c r="B491" s="3" t="str">
        <f t="shared" si="58"/>
        <v>May</v>
      </c>
      <c r="C491" s="3" t="str">
        <f t="shared" si="59"/>
        <v>2015</v>
      </c>
      <c r="D491" s="3" t="str">
        <f t="shared" si="60"/>
        <v>Sunday</v>
      </c>
      <c r="E491">
        <v>259541.60870000001</v>
      </c>
      <c r="F491">
        <v>273280.04639999999</v>
      </c>
      <c r="G491">
        <v>6721</v>
      </c>
      <c r="H491" s="1">
        <f t="shared" si="61"/>
        <v>38.616516693944355</v>
      </c>
      <c r="I491" s="1" t="str">
        <f t="shared" si="62"/>
        <v>Medium</v>
      </c>
      <c r="J491">
        <f t="shared" si="63"/>
        <v>-5.2933469006428258</v>
      </c>
      <c r="K491">
        <f t="shared" si="64"/>
        <v>40.660622883499478</v>
      </c>
      <c r="L491">
        <f t="shared" si="65"/>
        <v>-5.2933469006428258</v>
      </c>
    </row>
    <row r="492" spans="1:12" x14ac:dyDescent="0.25">
      <c r="A492" s="3">
        <v>42128</v>
      </c>
      <c r="B492" s="3" t="str">
        <f t="shared" si="58"/>
        <v>May</v>
      </c>
      <c r="C492" s="3" t="str">
        <f t="shared" si="59"/>
        <v>2015</v>
      </c>
      <c r="D492" s="3" t="str">
        <f t="shared" si="60"/>
        <v>Monday</v>
      </c>
      <c r="E492">
        <v>320309.27439999999</v>
      </c>
      <c r="F492">
        <v>336742.60239999997</v>
      </c>
      <c r="G492">
        <v>8283</v>
      </c>
      <c r="H492" s="1">
        <f t="shared" si="61"/>
        <v>38.67068385850537</v>
      </c>
      <c r="I492" s="1" t="str">
        <f t="shared" si="62"/>
        <v>Medium</v>
      </c>
      <c r="J492">
        <f t="shared" si="63"/>
        <v>-5.1304565035722796</v>
      </c>
      <c r="K492">
        <f t="shared" si="64"/>
        <v>40.654666473499937</v>
      </c>
      <c r="L492">
        <f t="shared" si="65"/>
        <v>-5.1304565035722849</v>
      </c>
    </row>
    <row r="493" spans="1:12" x14ac:dyDescent="0.25">
      <c r="A493" s="3">
        <v>42129</v>
      </c>
      <c r="B493" s="3" t="str">
        <f t="shared" si="58"/>
        <v>May</v>
      </c>
      <c r="C493" s="3" t="str">
        <f t="shared" si="59"/>
        <v>2015</v>
      </c>
      <c r="D493" s="3" t="str">
        <f t="shared" si="60"/>
        <v>Tuesday</v>
      </c>
      <c r="E493">
        <v>239922.9982</v>
      </c>
      <c r="F493">
        <v>251700.9664</v>
      </c>
      <c r="G493">
        <v>6191</v>
      </c>
      <c r="H493" s="1">
        <f t="shared" si="61"/>
        <v>38.753512873526084</v>
      </c>
      <c r="I493" s="1" t="str">
        <f t="shared" si="62"/>
        <v>Medium</v>
      </c>
      <c r="J493">
        <f t="shared" si="63"/>
        <v>-4.9090617774715701</v>
      </c>
      <c r="K493">
        <f t="shared" si="64"/>
        <v>40.655946761427877</v>
      </c>
      <c r="L493">
        <f t="shared" si="65"/>
        <v>-4.9090617774715701</v>
      </c>
    </row>
    <row r="494" spans="1:12" x14ac:dyDescent="0.25">
      <c r="A494" s="3">
        <v>42130</v>
      </c>
      <c r="B494" s="3" t="str">
        <f t="shared" si="58"/>
        <v>May</v>
      </c>
      <c r="C494" s="3" t="str">
        <f t="shared" si="59"/>
        <v>2015</v>
      </c>
      <c r="D494" s="3" t="str">
        <f t="shared" si="60"/>
        <v>Wednesday</v>
      </c>
      <c r="E494">
        <v>224994.19510000001</v>
      </c>
      <c r="F494">
        <v>242259.85949999999</v>
      </c>
      <c r="G494">
        <v>5959</v>
      </c>
      <c r="H494" s="1">
        <f t="shared" si="61"/>
        <v>37.75703894948817</v>
      </c>
      <c r="I494" s="1" t="str">
        <f t="shared" si="62"/>
        <v>Medium</v>
      </c>
      <c r="J494">
        <f t="shared" si="63"/>
        <v>-7.6738266035379947</v>
      </c>
      <c r="K494">
        <f t="shared" si="64"/>
        <v>40.6544486491022</v>
      </c>
      <c r="L494">
        <f t="shared" si="65"/>
        <v>-7.6738266035380072</v>
      </c>
    </row>
    <row r="495" spans="1:12" x14ac:dyDescent="0.25">
      <c r="A495" s="3">
        <v>42131</v>
      </c>
      <c r="B495" s="3" t="str">
        <f t="shared" si="58"/>
        <v>May</v>
      </c>
      <c r="C495" s="3" t="str">
        <f t="shared" si="59"/>
        <v>2015</v>
      </c>
      <c r="D495" s="3" t="str">
        <f t="shared" si="60"/>
        <v>Thursday</v>
      </c>
      <c r="E495">
        <v>117197.97169999999</v>
      </c>
      <c r="F495">
        <v>115769.0863</v>
      </c>
      <c r="G495">
        <v>2848</v>
      </c>
      <c r="H495" s="1">
        <f t="shared" si="61"/>
        <v>41.150973209269658</v>
      </c>
      <c r="I495" s="1" t="str">
        <f t="shared" si="62"/>
        <v>High</v>
      </c>
      <c r="J495">
        <f t="shared" si="63"/>
        <v>1.2192065948526984</v>
      </c>
      <c r="K495">
        <f t="shared" si="64"/>
        <v>40.649257830056179</v>
      </c>
      <c r="L495">
        <f t="shared" si="65"/>
        <v>1.2192065948526896</v>
      </c>
    </row>
    <row r="496" spans="1:12" x14ac:dyDescent="0.25">
      <c r="A496" s="3">
        <v>42132</v>
      </c>
      <c r="B496" s="3" t="str">
        <f t="shared" si="58"/>
        <v>May</v>
      </c>
      <c r="C496" s="3" t="str">
        <f t="shared" si="59"/>
        <v>2015</v>
      </c>
      <c r="D496" s="3" t="str">
        <f t="shared" si="60"/>
        <v>Friday</v>
      </c>
      <c r="E496">
        <v>330589.1998</v>
      </c>
      <c r="F496">
        <v>355565.0417</v>
      </c>
      <c r="G496">
        <v>8748</v>
      </c>
      <c r="H496" s="1">
        <f t="shared" si="61"/>
        <v>37.790260608139</v>
      </c>
      <c r="I496" s="1" t="str">
        <f t="shared" si="62"/>
        <v>Medium</v>
      </c>
      <c r="J496">
        <f t="shared" si="63"/>
        <v>-7.5549479278542355</v>
      </c>
      <c r="K496">
        <f t="shared" si="64"/>
        <v>40.64529511888432</v>
      </c>
      <c r="L496">
        <f t="shared" si="65"/>
        <v>-7.5549479278542542</v>
      </c>
    </row>
    <row r="497" spans="1:12" x14ac:dyDescent="0.25">
      <c r="A497" s="3">
        <v>42133</v>
      </c>
      <c r="B497" s="3" t="str">
        <f t="shared" si="58"/>
        <v>May</v>
      </c>
      <c r="C497" s="3" t="str">
        <f t="shared" si="59"/>
        <v>2015</v>
      </c>
      <c r="D497" s="3" t="str">
        <f t="shared" si="60"/>
        <v>Saturday</v>
      </c>
      <c r="E497">
        <v>389972.11979999999</v>
      </c>
      <c r="F497">
        <v>419827.13650000002</v>
      </c>
      <c r="G497">
        <v>10329</v>
      </c>
      <c r="H497" s="1">
        <f t="shared" si="61"/>
        <v>37.755070171362185</v>
      </c>
      <c r="I497" s="1" t="str">
        <f t="shared" si="62"/>
        <v>Medium</v>
      </c>
      <c r="J497">
        <f t="shared" si="63"/>
        <v>-7.6556797740595917</v>
      </c>
      <c r="K497">
        <f t="shared" si="64"/>
        <v>40.645477442153165</v>
      </c>
      <c r="L497">
        <f t="shared" si="65"/>
        <v>-7.6556797740595917</v>
      </c>
    </row>
    <row r="498" spans="1:12" x14ac:dyDescent="0.25">
      <c r="A498" s="3">
        <v>42134</v>
      </c>
      <c r="B498" s="3" t="str">
        <f t="shared" si="58"/>
        <v>May</v>
      </c>
      <c r="C498" s="3" t="str">
        <f t="shared" si="59"/>
        <v>2015</v>
      </c>
      <c r="D498" s="3" t="str">
        <f t="shared" si="60"/>
        <v>Sunday</v>
      </c>
      <c r="E498">
        <v>166536.00030000001</v>
      </c>
      <c r="F498">
        <v>179243.05179999999</v>
      </c>
      <c r="G498">
        <v>4410</v>
      </c>
      <c r="H498" s="1">
        <f t="shared" si="61"/>
        <v>37.763265374149661</v>
      </c>
      <c r="I498" s="1" t="str">
        <f t="shared" si="62"/>
        <v>Medium</v>
      </c>
      <c r="J498">
        <f t="shared" si="63"/>
        <v>-7.6302129732366168</v>
      </c>
      <c r="K498">
        <f t="shared" si="64"/>
        <v>40.644682947845801</v>
      </c>
      <c r="L498">
        <f t="shared" si="65"/>
        <v>-7.6302129732366204</v>
      </c>
    </row>
    <row r="499" spans="1:12" x14ac:dyDescent="0.25">
      <c r="A499" s="3">
        <v>42135</v>
      </c>
      <c r="B499" s="3" t="str">
        <f t="shared" si="58"/>
        <v>May</v>
      </c>
      <c r="C499" s="3" t="str">
        <f t="shared" si="59"/>
        <v>2015</v>
      </c>
      <c r="D499" s="3" t="str">
        <f t="shared" si="60"/>
        <v>Monday</v>
      </c>
      <c r="E499">
        <v>198442.91269999999</v>
      </c>
      <c r="F499">
        <v>213676.4284</v>
      </c>
      <c r="G499">
        <v>5257</v>
      </c>
      <c r="H499" s="1">
        <f t="shared" si="61"/>
        <v>37.748318946167011</v>
      </c>
      <c r="I499" s="1" t="str">
        <f t="shared" si="62"/>
        <v>Medium</v>
      </c>
      <c r="J499">
        <f t="shared" si="63"/>
        <v>-7.6765229318265389</v>
      </c>
      <c r="K499">
        <f t="shared" si="64"/>
        <v>40.646077306448547</v>
      </c>
      <c r="L499">
        <f t="shared" si="65"/>
        <v>-7.6765229318265478</v>
      </c>
    </row>
    <row r="500" spans="1:12" x14ac:dyDescent="0.25">
      <c r="A500" s="3">
        <v>42136</v>
      </c>
      <c r="B500" s="3" t="str">
        <f t="shared" si="58"/>
        <v>May</v>
      </c>
      <c r="C500" s="3" t="str">
        <f t="shared" si="59"/>
        <v>2015</v>
      </c>
      <c r="D500" s="3" t="str">
        <f t="shared" si="60"/>
        <v>Tuesday</v>
      </c>
      <c r="E500">
        <v>193182.15059999999</v>
      </c>
      <c r="F500">
        <v>208039.1734</v>
      </c>
      <c r="G500">
        <v>5118</v>
      </c>
      <c r="H500" s="1">
        <f t="shared" si="61"/>
        <v>37.74563317702227</v>
      </c>
      <c r="I500" s="1" t="str">
        <f t="shared" si="62"/>
        <v>Medium</v>
      </c>
      <c r="J500">
        <f t="shared" si="63"/>
        <v>-7.690680921532306</v>
      </c>
      <c r="K500">
        <f t="shared" si="64"/>
        <v>40.64852938647909</v>
      </c>
      <c r="L500">
        <f t="shared" si="65"/>
        <v>-7.690680921532306</v>
      </c>
    </row>
    <row r="501" spans="1:12" x14ac:dyDescent="0.25">
      <c r="A501" s="3">
        <v>42137</v>
      </c>
      <c r="B501" s="3" t="str">
        <f t="shared" si="58"/>
        <v>May</v>
      </c>
      <c r="C501" s="3" t="str">
        <f t="shared" si="59"/>
        <v>2015</v>
      </c>
      <c r="D501" s="3" t="str">
        <f t="shared" si="60"/>
        <v>Wednesday</v>
      </c>
      <c r="E501">
        <v>166403.12700000001</v>
      </c>
      <c r="F501">
        <v>179221.5723</v>
      </c>
      <c r="G501">
        <v>4410</v>
      </c>
      <c r="H501" s="1">
        <f t="shared" si="61"/>
        <v>37.733135374149661</v>
      </c>
      <c r="I501" s="1" t="str">
        <f t="shared" si="62"/>
        <v>Medium</v>
      </c>
      <c r="J501">
        <f t="shared" si="63"/>
        <v>-7.7032478482210207</v>
      </c>
      <c r="K501">
        <f t="shared" si="64"/>
        <v>40.639812312925173</v>
      </c>
      <c r="L501">
        <f t="shared" si="65"/>
        <v>-7.7032478482210287</v>
      </c>
    </row>
    <row r="502" spans="1:12" x14ac:dyDescent="0.25">
      <c r="A502" s="3">
        <v>42138</v>
      </c>
      <c r="B502" s="3" t="str">
        <f t="shared" si="58"/>
        <v>May</v>
      </c>
      <c r="C502" s="3" t="str">
        <f t="shared" si="59"/>
        <v>2015</v>
      </c>
      <c r="D502" s="3" t="str">
        <f t="shared" si="60"/>
        <v>Thursday</v>
      </c>
      <c r="E502">
        <v>149178.60149999999</v>
      </c>
      <c r="F502">
        <v>160620.2071</v>
      </c>
      <c r="G502">
        <v>3952</v>
      </c>
      <c r="H502" s="1">
        <f t="shared" si="61"/>
        <v>37.747621837044534</v>
      </c>
      <c r="I502" s="1" t="str">
        <f t="shared" si="62"/>
        <v>Medium</v>
      </c>
      <c r="J502">
        <f t="shared" si="63"/>
        <v>-7.6697364668618446</v>
      </c>
      <c r="K502">
        <f t="shared" si="64"/>
        <v>40.64276495445344</v>
      </c>
      <c r="L502">
        <f t="shared" si="65"/>
        <v>-7.6697364668618375</v>
      </c>
    </row>
    <row r="503" spans="1:12" x14ac:dyDescent="0.25">
      <c r="A503" s="3">
        <v>42139</v>
      </c>
      <c r="B503" s="3" t="str">
        <f t="shared" si="58"/>
        <v>May</v>
      </c>
      <c r="C503" s="3" t="str">
        <f t="shared" si="59"/>
        <v>2015</v>
      </c>
      <c r="D503" s="3" t="str">
        <f t="shared" si="60"/>
        <v>Friday</v>
      </c>
      <c r="E503">
        <v>380592.57760000002</v>
      </c>
      <c r="F503">
        <v>409812.4327</v>
      </c>
      <c r="G503">
        <v>10084</v>
      </c>
      <c r="H503" s="1">
        <f t="shared" si="61"/>
        <v>37.742223086076955</v>
      </c>
      <c r="I503" s="1" t="str">
        <f t="shared" si="62"/>
        <v>Medium</v>
      </c>
      <c r="J503">
        <f t="shared" si="63"/>
        <v>-7.6774632033706753</v>
      </c>
      <c r="K503">
        <f t="shared" si="64"/>
        <v>40.639868375644589</v>
      </c>
      <c r="L503">
        <f t="shared" si="65"/>
        <v>-7.6774632033706869</v>
      </c>
    </row>
    <row r="504" spans="1:12" x14ac:dyDescent="0.25">
      <c r="A504" s="3">
        <v>42140</v>
      </c>
      <c r="B504" s="3" t="str">
        <f t="shared" si="58"/>
        <v>May</v>
      </c>
      <c r="C504" s="3" t="str">
        <f t="shared" si="59"/>
        <v>2015</v>
      </c>
      <c r="D504" s="3" t="str">
        <f t="shared" si="60"/>
        <v>Saturday</v>
      </c>
      <c r="E504">
        <v>413700.1789</v>
      </c>
      <c r="F504">
        <v>445569.71909999999</v>
      </c>
      <c r="G504">
        <v>10964</v>
      </c>
      <c r="H504" s="1">
        <f t="shared" si="61"/>
        <v>37.732595667639551</v>
      </c>
      <c r="I504" s="1" t="str">
        <f t="shared" si="62"/>
        <v>Medium</v>
      </c>
      <c r="J504">
        <f t="shared" si="63"/>
        <v>-7.7035355132644323</v>
      </c>
      <c r="K504">
        <f t="shared" si="64"/>
        <v>40.639339574972638</v>
      </c>
      <c r="L504">
        <f t="shared" si="65"/>
        <v>-7.703535513264427</v>
      </c>
    </row>
    <row r="505" spans="1:12" x14ac:dyDescent="0.25">
      <c r="A505" s="3">
        <v>42141</v>
      </c>
      <c r="B505" s="3" t="str">
        <f t="shared" si="58"/>
        <v>May</v>
      </c>
      <c r="C505" s="3" t="str">
        <f t="shared" si="59"/>
        <v>2015</v>
      </c>
      <c r="D505" s="3" t="str">
        <f t="shared" si="60"/>
        <v>Sunday</v>
      </c>
      <c r="E505">
        <v>177159.67310000001</v>
      </c>
      <c r="F505">
        <v>190811.5779</v>
      </c>
      <c r="G505">
        <v>4695</v>
      </c>
      <c r="H505" s="1">
        <f t="shared" si="61"/>
        <v>37.733689691160812</v>
      </c>
      <c r="I505" s="1" t="str">
        <f t="shared" si="62"/>
        <v>Medium</v>
      </c>
      <c r="J505">
        <f t="shared" si="63"/>
        <v>-7.7059889314053995</v>
      </c>
      <c r="K505">
        <f t="shared" si="64"/>
        <v>40.641443642172526</v>
      </c>
      <c r="L505">
        <f t="shared" si="65"/>
        <v>-7.7059889314054022</v>
      </c>
    </row>
    <row r="506" spans="1:12" x14ac:dyDescent="0.25">
      <c r="A506" s="3">
        <v>42142</v>
      </c>
      <c r="B506" s="3" t="str">
        <f t="shared" si="58"/>
        <v>May</v>
      </c>
      <c r="C506" s="3" t="str">
        <f t="shared" si="59"/>
        <v>2015</v>
      </c>
      <c r="D506" s="3" t="str">
        <f t="shared" si="60"/>
        <v>Monday</v>
      </c>
      <c r="E506">
        <v>196420.7635</v>
      </c>
      <c r="F506">
        <v>211510.7861</v>
      </c>
      <c r="G506">
        <v>5205</v>
      </c>
      <c r="H506" s="1">
        <f t="shared" si="61"/>
        <v>37.736938232468781</v>
      </c>
      <c r="I506" s="1" t="str">
        <f t="shared" si="62"/>
        <v>Medium</v>
      </c>
      <c r="J506">
        <f t="shared" si="63"/>
        <v>-7.6824986987691846</v>
      </c>
      <c r="K506">
        <f t="shared" si="64"/>
        <v>40.636078021133528</v>
      </c>
      <c r="L506">
        <f t="shared" si="65"/>
        <v>-7.6824986987691908</v>
      </c>
    </row>
    <row r="507" spans="1:12" x14ac:dyDescent="0.25">
      <c r="A507" s="3">
        <v>42143</v>
      </c>
      <c r="B507" s="3" t="str">
        <f t="shared" si="58"/>
        <v>May</v>
      </c>
      <c r="C507" s="3" t="str">
        <f t="shared" si="59"/>
        <v>2015</v>
      </c>
      <c r="D507" s="3" t="str">
        <f t="shared" si="60"/>
        <v>Tuesday</v>
      </c>
      <c r="E507">
        <v>137940.87220000001</v>
      </c>
      <c r="F507">
        <v>147846.05220000001</v>
      </c>
      <c r="G507">
        <v>3638</v>
      </c>
      <c r="H507" s="1">
        <f t="shared" si="61"/>
        <v>37.916677350192415</v>
      </c>
      <c r="I507" s="1" t="str">
        <f t="shared" si="62"/>
        <v>Medium</v>
      </c>
      <c r="J507">
        <f t="shared" si="63"/>
        <v>-7.1807433446110913</v>
      </c>
      <c r="K507">
        <f t="shared" si="64"/>
        <v>40.639376635514019</v>
      </c>
      <c r="L507">
        <f t="shared" si="65"/>
        <v>-7.1807433446110913</v>
      </c>
    </row>
    <row r="508" spans="1:12" x14ac:dyDescent="0.25">
      <c r="A508" s="3">
        <v>42144</v>
      </c>
      <c r="B508" s="3" t="str">
        <f t="shared" si="58"/>
        <v>May</v>
      </c>
      <c r="C508" s="3" t="str">
        <f t="shared" si="59"/>
        <v>2015</v>
      </c>
      <c r="D508" s="3" t="str">
        <f t="shared" si="60"/>
        <v>Wednesday</v>
      </c>
      <c r="E508">
        <v>166176.2838</v>
      </c>
      <c r="F508">
        <v>178568.18049999999</v>
      </c>
      <c r="G508">
        <v>4394</v>
      </c>
      <c r="H508" s="1">
        <f t="shared" si="61"/>
        <v>37.818908466090122</v>
      </c>
      <c r="I508" s="1" t="str">
        <f t="shared" si="62"/>
        <v>Medium</v>
      </c>
      <c r="J508">
        <f t="shared" si="63"/>
        <v>-7.4570789625516847</v>
      </c>
      <c r="K508">
        <f t="shared" si="64"/>
        <v>40.63909433318161</v>
      </c>
      <c r="L508">
        <f t="shared" si="65"/>
        <v>-7.4570789625516953</v>
      </c>
    </row>
    <row r="509" spans="1:12" x14ac:dyDescent="0.25">
      <c r="A509" s="3">
        <v>42145</v>
      </c>
      <c r="B509" s="3" t="str">
        <f t="shared" si="58"/>
        <v>May</v>
      </c>
      <c r="C509" s="3" t="str">
        <f t="shared" si="59"/>
        <v>2015</v>
      </c>
      <c r="D509" s="3" t="str">
        <f t="shared" si="60"/>
        <v>Thursday</v>
      </c>
      <c r="E509">
        <v>84604.377569999997</v>
      </c>
      <c r="F509">
        <v>81763.267389999994</v>
      </c>
      <c r="G509">
        <v>2012</v>
      </c>
      <c r="H509" s="1">
        <f t="shared" si="61"/>
        <v>42.04988944831014</v>
      </c>
      <c r="I509" s="1" t="str">
        <f t="shared" si="62"/>
        <v>High</v>
      </c>
      <c r="J509">
        <f t="shared" si="63"/>
        <v>3.3581125015065854</v>
      </c>
      <c r="K509">
        <f t="shared" si="64"/>
        <v>40.637806853876739</v>
      </c>
      <c r="L509">
        <f t="shared" si="65"/>
        <v>3.3581125015065827</v>
      </c>
    </row>
    <row r="510" spans="1:12" x14ac:dyDescent="0.25">
      <c r="A510" s="3">
        <v>42146</v>
      </c>
      <c r="B510" s="3" t="str">
        <f t="shared" si="58"/>
        <v>May</v>
      </c>
      <c r="C510" s="3" t="str">
        <f t="shared" si="59"/>
        <v>2015</v>
      </c>
      <c r="D510" s="3" t="str">
        <f t="shared" si="60"/>
        <v>Friday</v>
      </c>
      <c r="E510">
        <v>321821.02029999997</v>
      </c>
      <c r="F510">
        <v>346487.52029999997</v>
      </c>
      <c r="G510">
        <v>8526</v>
      </c>
      <c r="H510" s="1">
        <f t="shared" si="61"/>
        <v>37.745838646493077</v>
      </c>
      <c r="I510" s="1" t="str">
        <f t="shared" si="62"/>
        <v>Medium</v>
      </c>
      <c r="J510">
        <f t="shared" si="63"/>
        <v>-7.6646640349987107</v>
      </c>
      <c r="K510">
        <f t="shared" si="64"/>
        <v>40.638930365939473</v>
      </c>
      <c r="L510">
        <f t="shared" si="65"/>
        <v>-7.6646640349987027</v>
      </c>
    </row>
    <row r="511" spans="1:12" x14ac:dyDescent="0.25">
      <c r="A511" s="3">
        <v>42147</v>
      </c>
      <c r="B511" s="3" t="str">
        <f t="shared" si="58"/>
        <v>May</v>
      </c>
      <c r="C511" s="3" t="str">
        <f t="shared" si="59"/>
        <v>2015</v>
      </c>
      <c r="D511" s="3" t="str">
        <f t="shared" si="60"/>
        <v>Saturday</v>
      </c>
      <c r="E511">
        <v>418715.4106</v>
      </c>
      <c r="F511">
        <v>450936.27929999999</v>
      </c>
      <c r="G511">
        <v>11096</v>
      </c>
      <c r="H511" s="1">
        <f t="shared" si="61"/>
        <v>37.735707516222064</v>
      </c>
      <c r="I511" s="1" t="str">
        <f t="shared" si="62"/>
        <v>Medium</v>
      </c>
      <c r="J511">
        <f t="shared" si="63"/>
        <v>-7.6951714420610804</v>
      </c>
      <c r="K511">
        <f t="shared" si="64"/>
        <v>40.639534904470082</v>
      </c>
      <c r="L511">
        <f t="shared" si="65"/>
        <v>-7.6951714420610839</v>
      </c>
    </row>
    <row r="512" spans="1:12" x14ac:dyDescent="0.25">
      <c r="A512" s="3">
        <v>42148</v>
      </c>
      <c r="B512" s="3" t="str">
        <f t="shared" si="58"/>
        <v>May</v>
      </c>
      <c r="C512" s="3" t="str">
        <f t="shared" si="59"/>
        <v>2015</v>
      </c>
      <c r="D512" s="3" t="str">
        <f t="shared" si="60"/>
        <v>Sunday</v>
      </c>
      <c r="E512">
        <v>169541.2659</v>
      </c>
      <c r="F512">
        <v>182419.14139999999</v>
      </c>
      <c r="G512">
        <v>4489</v>
      </c>
      <c r="H512" s="1">
        <f t="shared" si="61"/>
        <v>37.768159033192248</v>
      </c>
      <c r="I512" s="1" t="str">
        <f t="shared" si="62"/>
        <v>Medium</v>
      </c>
      <c r="J512">
        <f t="shared" si="63"/>
        <v>-7.595717438842124</v>
      </c>
      <c r="K512">
        <f t="shared" si="64"/>
        <v>40.636921675206061</v>
      </c>
      <c r="L512">
        <f t="shared" si="65"/>
        <v>-7.5957174388421311</v>
      </c>
    </row>
    <row r="513" spans="1:12" x14ac:dyDescent="0.25">
      <c r="A513" s="3">
        <v>42149</v>
      </c>
      <c r="B513" s="3" t="str">
        <f t="shared" si="58"/>
        <v>May</v>
      </c>
      <c r="C513" s="3" t="str">
        <f t="shared" si="59"/>
        <v>2015</v>
      </c>
      <c r="D513" s="3" t="str">
        <f t="shared" si="60"/>
        <v>Monday</v>
      </c>
      <c r="E513">
        <v>256434.5099</v>
      </c>
      <c r="F513">
        <v>276173.79249999998</v>
      </c>
      <c r="G513">
        <v>6795</v>
      </c>
      <c r="H513" s="1">
        <f t="shared" si="61"/>
        <v>37.738706387049305</v>
      </c>
      <c r="I513" s="1" t="str">
        <f t="shared" si="62"/>
        <v>Medium</v>
      </c>
      <c r="J513">
        <f t="shared" si="63"/>
        <v>-7.6975921094620094</v>
      </c>
      <c r="K513">
        <f t="shared" si="64"/>
        <v>40.643678072111847</v>
      </c>
      <c r="L513">
        <f t="shared" si="65"/>
        <v>-7.6975921094620068</v>
      </c>
    </row>
    <row r="514" spans="1:12" x14ac:dyDescent="0.25">
      <c r="A514" s="3">
        <v>42150</v>
      </c>
      <c r="B514" s="3" t="str">
        <f t="shared" si="58"/>
        <v>May</v>
      </c>
      <c r="C514" s="3" t="str">
        <f t="shared" si="59"/>
        <v>2015</v>
      </c>
      <c r="D514" s="3" t="str">
        <f t="shared" si="60"/>
        <v>Tuesday</v>
      </c>
      <c r="E514">
        <v>199385.9124</v>
      </c>
      <c r="F514">
        <v>214719.75279999999</v>
      </c>
      <c r="G514">
        <v>5283</v>
      </c>
      <c r="H514" s="1">
        <f t="shared" si="61"/>
        <v>37.741039636570129</v>
      </c>
      <c r="I514" s="1" t="str">
        <f t="shared" si="62"/>
        <v>Medium</v>
      </c>
      <c r="J514">
        <f t="shared" si="63"/>
        <v>-7.690533506318066</v>
      </c>
      <c r="K514">
        <f t="shared" si="64"/>
        <v>40.643526935453338</v>
      </c>
      <c r="L514">
        <f t="shared" si="65"/>
        <v>-7.6905335063180686</v>
      </c>
    </row>
    <row r="515" spans="1:12" x14ac:dyDescent="0.25">
      <c r="A515" s="3">
        <v>42151</v>
      </c>
      <c r="B515" s="3" t="str">
        <f t="shared" ref="B515:B578" si="66">TEXT(A515,"mmm")</f>
        <v>May</v>
      </c>
      <c r="C515" s="3" t="str">
        <f t="shared" ref="C515:C578" si="67">TEXT(A515,"yyyy")</f>
        <v>2015</v>
      </c>
      <c r="D515" s="3" t="str">
        <f t="shared" ref="D515:D578" si="68">TEXT(A515,"dddd")</f>
        <v>Wednesday</v>
      </c>
      <c r="E515">
        <v>243554.2243</v>
      </c>
      <c r="F515">
        <v>262251.08010000002</v>
      </c>
      <c r="G515">
        <v>6453</v>
      </c>
      <c r="H515" s="1">
        <f t="shared" ref="H515:H578" si="69">E515/G515</f>
        <v>37.742790066635671</v>
      </c>
      <c r="I515" s="1" t="str">
        <f t="shared" ref="I515:I578" si="70">IF(H515&lt;PERCENTILE(H515:H1567,0.33),"Low", IF(H515&gt;PERCENTILE(H515:H1567,0.67),"High","Medium"))</f>
        <v>Medium</v>
      </c>
      <c r="J515">
        <f t="shared" ref="J515:J578" si="71">(E515-F515)/E515 *100</f>
        <v>-7.6766707100797431</v>
      </c>
      <c r="K515">
        <f t="shared" ref="K515:K578" si="72">F515/G515</f>
        <v>40.64017977684798</v>
      </c>
      <c r="L515">
        <f t="shared" ref="L515:L578" si="73">(H515-K515)/H515 *100</f>
        <v>-7.6766707100797476</v>
      </c>
    </row>
    <row r="516" spans="1:12" x14ac:dyDescent="0.25">
      <c r="A516" s="3">
        <v>42152</v>
      </c>
      <c r="B516" s="3" t="str">
        <f t="shared" si="66"/>
        <v>May</v>
      </c>
      <c r="C516" s="3" t="str">
        <f t="shared" si="67"/>
        <v>2015</v>
      </c>
      <c r="D516" s="3" t="str">
        <f t="shared" si="68"/>
        <v>Thursday</v>
      </c>
      <c r="E516">
        <v>217746.0129</v>
      </c>
      <c r="F516">
        <v>234483.41699999999</v>
      </c>
      <c r="G516">
        <v>5770</v>
      </c>
      <c r="H516" s="1">
        <f t="shared" si="69"/>
        <v>37.73761055459272</v>
      </c>
      <c r="I516" s="1" t="str">
        <f t="shared" si="70"/>
        <v>Medium</v>
      </c>
      <c r="J516">
        <f t="shared" si="71"/>
        <v>-7.6866638691045281</v>
      </c>
      <c r="K516">
        <f t="shared" si="72"/>
        <v>40.638373830155977</v>
      </c>
      <c r="L516">
        <f t="shared" si="73"/>
        <v>-7.6866638691045317</v>
      </c>
    </row>
    <row r="517" spans="1:12" x14ac:dyDescent="0.25">
      <c r="A517" s="3">
        <v>42153</v>
      </c>
      <c r="B517" s="3" t="str">
        <f t="shared" si="66"/>
        <v>May</v>
      </c>
      <c r="C517" s="3" t="str">
        <f t="shared" si="67"/>
        <v>2015</v>
      </c>
      <c r="D517" s="3" t="str">
        <f t="shared" si="68"/>
        <v>Friday</v>
      </c>
      <c r="E517">
        <v>472160.75209999998</v>
      </c>
      <c r="F517">
        <v>508265.147</v>
      </c>
      <c r="G517">
        <v>12507</v>
      </c>
      <c r="H517" s="1">
        <f t="shared" si="69"/>
        <v>37.75171920524506</v>
      </c>
      <c r="I517" s="1" t="str">
        <f t="shared" si="70"/>
        <v>Medium</v>
      </c>
      <c r="J517">
        <f t="shared" si="71"/>
        <v>-7.6466319446122419</v>
      </c>
      <c r="K517">
        <f t="shared" si="72"/>
        <v>40.638454225633645</v>
      </c>
      <c r="L517">
        <f t="shared" si="73"/>
        <v>-7.6466319446122446</v>
      </c>
    </row>
    <row r="518" spans="1:12" x14ac:dyDescent="0.25">
      <c r="A518" s="3">
        <v>42154</v>
      </c>
      <c r="B518" s="3" t="str">
        <f t="shared" si="66"/>
        <v>May</v>
      </c>
      <c r="C518" s="3" t="str">
        <f t="shared" si="67"/>
        <v>2015</v>
      </c>
      <c r="D518" s="3" t="str">
        <f t="shared" si="68"/>
        <v>Saturday</v>
      </c>
      <c r="E518">
        <v>546135.46239999996</v>
      </c>
      <c r="F518">
        <v>588250.18119999999</v>
      </c>
      <c r="G518">
        <v>14475</v>
      </c>
      <c r="H518" s="1">
        <f t="shared" si="69"/>
        <v>37.729565623488774</v>
      </c>
      <c r="I518" s="1" t="str">
        <f t="shared" si="70"/>
        <v>Medium</v>
      </c>
      <c r="J518">
        <f t="shared" si="71"/>
        <v>-7.7114052647169817</v>
      </c>
      <c r="K518">
        <f t="shared" si="72"/>
        <v>40.639045333333335</v>
      </c>
      <c r="L518">
        <f t="shared" si="73"/>
        <v>-7.7114052647169791</v>
      </c>
    </row>
    <row r="519" spans="1:12" x14ac:dyDescent="0.25">
      <c r="A519" s="3">
        <v>42155</v>
      </c>
      <c r="B519" s="3" t="str">
        <f t="shared" si="66"/>
        <v>May</v>
      </c>
      <c r="C519" s="3" t="str">
        <f t="shared" si="67"/>
        <v>2015</v>
      </c>
      <c r="D519" s="3" t="str">
        <f t="shared" si="68"/>
        <v>Sunday</v>
      </c>
      <c r="E519">
        <v>264637.3653</v>
      </c>
      <c r="F519">
        <v>284828.65970000002</v>
      </c>
      <c r="G519">
        <v>7009</v>
      </c>
      <c r="H519" s="1">
        <f t="shared" si="69"/>
        <v>37.756793451276927</v>
      </c>
      <c r="I519" s="1" t="str">
        <f t="shared" si="70"/>
        <v>Medium</v>
      </c>
      <c r="J519">
        <f t="shared" si="71"/>
        <v>-7.6297972423926694</v>
      </c>
      <c r="K519">
        <f t="shared" si="72"/>
        <v>40.637560236838354</v>
      </c>
      <c r="L519">
        <f t="shared" si="73"/>
        <v>-7.6297972423926801</v>
      </c>
    </row>
    <row r="520" spans="1:12" x14ac:dyDescent="0.25">
      <c r="A520" s="3">
        <v>42156</v>
      </c>
      <c r="B520" s="3" t="str">
        <f t="shared" si="66"/>
        <v>Jun</v>
      </c>
      <c r="C520" s="3" t="str">
        <f t="shared" si="67"/>
        <v>2015</v>
      </c>
      <c r="D520" s="3" t="str">
        <f t="shared" si="68"/>
        <v>Monday</v>
      </c>
      <c r="E520">
        <v>440905.9987</v>
      </c>
      <c r="F520">
        <v>474967.32760000002</v>
      </c>
      <c r="G520">
        <v>11688</v>
      </c>
      <c r="H520" s="1">
        <f t="shared" si="69"/>
        <v>37.722963612251881</v>
      </c>
      <c r="I520" s="1" t="str">
        <f t="shared" si="70"/>
        <v>Medium</v>
      </c>
      <c r="J520">
        <f t="shared" si="71"/>
        <v>-7.7253040331564948</v>
      </c>
      <c r="K520">
        <f t="shared" si="72"/>
        <v>40.637177241615333</v>
      </c>
      <c r="L520">
        <f t="shared" si="73"/>
        <v>-7.7253040331564966</v>
      </c>
    </row>
    <row r="521" spans="1:12" x14ac:dyDescent="0.25">
      <c r="A521" s="3">
        <v>42157</v>
      </c>
      <c r="B521" s="3" t="str">
        <f t="shared" si="66"/>
        <v>Jun</v>
      </c>
      <c r="C521" s="3" t="str">
        <f t="shared" si="67"/>
        <v>2015</v>
      </c>
      <c r="D521" s="3" t="str">
        <f t="shared" si="68"/>
        <v>Tuesday</v>
      </c>
      <c r="E521">
        <v>334318.89779999998</v>
      </c>
      <c r="F521">
        <v>360168.82709999999</v>
      </c>
      <c r="G521">
        <v>8863</v>
      </c>
      <c r="H521" s="1">
        <f t="shared" si="69"/>
        <v>37.720737650908269</v>
      </c>
      <c r="I521" s="1" t="str">
        <f t="shared" si="70"/>
        <v>Medium</v>
      </c>
      <c r="J521">
        <f t="shared" si="71"/>
        <v>-7.7321172898411072</v>
      </c>
      <c r="K521">
        <f t="shared" si="72"/>
        <v>40.63734932866975</v>
      </c>
      <c r="L521">
        <f t="shared" si="73"/>
        <v>-7.732117289841101</v>
      </c>
    </row>
    <row r="522" spans="1:12" x14ac:dyDescent="0.25">
      <c r="A522" s="3">
        <v>42158</v>
      </c>
      <c r="B522" s="3" t="str">
        <f t="shared" si="66"/>
        <v>Jun</v>
      </c>
      <c r="C522" s="3" t="str">
        <f t="shared" si="67"/>
        <v>2015</v>
      </c>
      <c r="D522" s="3" t="str">
        <f t="shared" si="68"/>
        <v>Wednesday</v>
      </c>
      <c r="E522">
        <v>269835.82860000001</v>
      </c>
      <c r="F522">
        <v>290492.10629999998</v>
      </c>
      <c r="G522">
        <v>7148</v>
      </c>
      <c r="H522" s="1">
        <f t="shared" si="69"/>
        <v>37.749836121992168</v>
      </c>
      <c r="I522" s="1" t="str">
        <f t="shared" si="70"/>
        <v>Medium</v>
      </c>
      <c r="J522">
        <f t="shared" si="71"/>
        <v>-7.655127863179537</v>
      </c>
      <c r="K522">
        <f t="shared" si="72"/>
        <v>40.639634345271404</v>
      </c>
      <c r="L522">
        <f t="shared" si="73"/>
        <v>-7.655127863179537</v>
      </c>
    </row>
    <row r="523" spans="1:12" x14ac:dyDescent="0.25">
      <c r="A523" s="3">
        <v>42159</v>
      </c>
      <c r="B523" s="3" t="str">
        <f t="shared" si="66"/>
        <v>Jun</v>
      </c>
      <c r="C523" s="3" t="str">
        <f t="shared" si="67"/>
        <v>2015</v>
      </c>
      <c r="D523" s="3" t="str">
        <f t="shared" si="68"/>
        <v>Thursday</v>
      </c>
      <c r="E523">
        <v>201146.48929999999</v>
      </c>
      <c r="F523">
        <v>216428.50039999999</v>
      </c>
      <c r="G523">
        <v>5326</v>
      </c>
      <c r="H523" s="1">
        <f t="shared" si="69"/>
        <v>37.76689622606083</v>
      </c>
      <c r="I523" s="1" t="str">
        <f t="shared" si="70"/>
        <v>Medium</v>
      </c>
      <c r="J523">
        <f t="shared" si="71"/>
        <v>-7.5974535539656589</v>
      </c>
      <c r="K523">
        <f t="shared" si="72"/>
        <v>40.636218625610212</v>
      </c>
      <c r="L523">
        <f t="shared" si="73"/>
        <v>-7.5974535539656634</v>
      </c>
    </row>
    <row r="524" spans="1:12" x14ac:dyDescent="0.25">
      <c r="A524" s="3">
        <v>42160</v>
      </c>
      <c r="B524" s="3" t="str">
        <f t="shared" si="66"/>
        <v>Jun</v>
      </c>
      <c r="C524" s="3" t="str">
        <f t="shared" si="67"/>
        <v>2015</v>
      </c>
      <c r="D524" s="3" t="str">
        <f t="shared" si="68"/>
        <v>Friday</v>
      </c>
      <c r="E524">
        <v>293461.08390000003</v>
      </c>
      <c r="F524">
        <v>315937.86219999997</v>
      </c>
      <c r="G524">
        <v>7775</v>
      </c>
      <c r="H524" s="1">
        <f t="shared" si="69"/>
        <v>37.744190855305469</v>
      </c>
      <c r="I524" s="1" t="str">
        <f t="shared" si="70"/>
        <v>Medium</v>
      </c>
      <c r="J524">
        <f t="shared" si="71"/>
        <v>-7.6592023723524267</v>
      </c>
      <c r="K524">
        <f t="shared" si="72"/>
        <v>40.635094816720255</v>
      </c>
      <c r="L524">
        <f t="shared" si="73"/>
        <v>-7.6592023723524303</v>
      </c>
    </row>
    <row r="525" spans="1:12" x14ac:dyDescent="0.25">
      <c r="A525" s="3">
        <v>42161</v>
      </c>
      <c r="B525" s="3" t="str">
        <f t="shared" si="66"/>
        <v>Jun</v>
      </c>
      <c r="C525" s="3" t="str">
        <f t="shared" si="67"/>
        <v>2015</v>
      </c>
      <c r="D525" s="3" t="str">
        <f t="shared" si="68"/>
        <v>Saturday</v>
      </c>
      <c r="E525">
        <v>349413.0098</v>
      </c>
      <c r="F525">
        <v>376094.7218</v>
      </c>
      <c r="G525">
        <v>9255</v>
      </c>
      <c r="H525" s="1">
        <f t="shared" si="69"/>
        <v>37.753971885467315</v>
      </c>
      <c r="I525" s="1" t="str">
        <f t="shared" si="70"/>
        <v>Medium</v>
      </c>
      <c r="J525">
        <f t="shared" si="71"/>
        <v>-7.6361529913474904</v>
      </c>
      <c r="K525">
        <f t="shared" si="72"/>
        <v>40.636922938951919</v>
      </c>
      <c r="L525">
        <f t="shared" si="73"/>
        <v>-7.6361529913474921</v>
      </c>
    </row>
    <row r="526" spans="1:12" x14ac:dyDescent="0.25">
      <c r="A526" s="3">
        <v>42162</v>
      </c>
      <c r="B526" s="3" t="str">
        <f t="shared" si="66"/>
        <v>Jun</v>
      </c>
      <c r="C526" s="3" t="str">
        <f t="shared" si="67"/>
        <v>2015</v>
      </c>
      <c r="D526" s="3" t="str">
        <f t="shared" si="68"/>
        <v>Sunday</v>
      </c>
      <c r="E526">
        <v>179602.91519999999</v>
      </c>
      <c r="F526">
        <v>193348.5914</v>
      </c>
      <c r="G526">
        <v>4758</v>
      </c>
      <c r="H526" s="1">
        <f t="shared" si="69"/>
        <v>37.747565195460275</v>
      </c>
      <c r="I526" s="1" t="str">
        <f t="shared" si="70"/>
        <v>Medium</v>
      </c>
      <c r="J526">
        <f t="shared" si="71"/>
        <v>-7.6533703167864937</v>
      </c>
      <c r="K526">
        <f t="shared" si="72"/>
        <v>40.636526145439262</v>
      </c>
      <c r="L526">
        <f t="shared" si="73"/>
        <v>-7.6533703167864955</v>
      </c>
    </row>
    <row r="527" spans="1:12" x14ac:dyDescent="0.25">
      <c r="A527" s="3">
        <v>42163</v>
      </c>
      <c r="B527" s="3" t="str">
        <f t="shared" si="66"/>
        <v>Jun</v>
      </c>
      <c r="C527" s="3" t="str">
        <f t="shared" si="67"/>
        <v>2015</v>
      </c>
      <c r="D527" s="3" t="str">
        <f t="shared" si="68"/>
        <v>Monday</v>
      </c>
      <c r="E527">
        <v>109810.5457</v>
      </c>
      <c r="F527">
        <v>106166.0816</v>
      </c>
      <c r="G527">
        <v>2613</v>
      </c>
      <c r="H527" s="1">
        <f t="shared" si="69"/>
        <v>42.024701760428627</v>
      </c>
      <c r="I527" s="1" t="str">
        <f t="shared" si="70"/>
        <v>High</v>
      </c>
      <c r="J527">
        <f t="shared" si="71"/>
        <v>3.3188653027520632</v>
      </c>
      <c r="K527">
        <f t="shared" si="72"/>
        <v>40.629958515116726</v>
      </c>
      <c r="L527">
        <f t="shared" si="73"/>
        <v>3.3188653027520618</v>
      </c>
    </row>
    <row r="528" spans="1:12" x14ac:dyDescent="0.25">
      <c r="A528" s="3">
        <v>42164</v>
      </c>
      <c r="B528" s="3" t="str">
        <f t="shared" si="66"/>
        <v>Jun</v>
      </c>
      <c r="C528" s="3" t="str">
        <f t="shared" si="67"/>
        <v>2015</v>
      </c>
      <c r="D528" s="3" t="str">
        <f t="shared" si="68"/>
        <v>Tuesday</v>
      </c>
      <c r="E528">
        <v>76956.92035</v>
      </c>
      <c r="F528">
        <v>74212.790569999997</v>
      </c>
      <c r="G528">
        <v>1830</v>
      </c>
      <c r="H528" s="1">
        <f t="shared" si="69"/>
        <v>42.052961939890707</v>
      </c>
      <c r="I528" s="1" t="str">
        <f t="shared" si="70"/>
        <v>High</v>
      </c>
      <c r="J528">
        <f t="shared" si="71"/>
        <v>3.5657998884566888</v>
      </c>
      <c r="K528">
        <f t="shared" si="72"/>
        <v>40.553437469945351</v>
      </c>
      <c r="L528">
        <f t="shared" si="73"/>
        <v>3.5657998884566879</v>
      </c>
    </row>
    <row r="529" spans="1:12" x14ac:dyDescent="0.25">
      <c r="A529" s="3">
        <v>42165</v>
      </c>
      <c r="B529" s="3" t="str">
        <f t="shared" si="66"/>
        <v>Jun</v>
      </c>
      <c r="C529" s="3" t="str">
        <f t="shared" si="67"/>
        <v>2015</v>
      </c>
      <c r="D529" s="3" t="str">
        <f t="shared" si="68"/>
        <v>Wednesday</v>
      </c>
      <c r="E529">
        <v>71199.588399999993</v>
      </c>
      <c r="F529">
        <v>68669.394960000005</v>
      </c>
      <c r="G529">
        <v>1694</v>
      </c>
      <c r="H529" s="1">
        <f t="shared" si="69"/>
        <v>42.030453600944504</v>
      </c>
      <c r="I529" s="1" t="str">
        <f t="shared" si="70"/>
        <v>High</v>
      </c>
      <c r="J529">
        <f t="shared" si="71"/>
        <v>3.5536630152766286</v>
      </c>
      <c r="K529">
        <f t="shared" si="72"/>
        <v>40.536832916174738</v>
      </c>
      <c r="L529">
        <f t="shared" si="73"/>
        <v>3.5536630152766224</v>
      </c>
    </row>
    <row r="530" spans="1:12" x14ac:dyDescent="0.25">
      <c r="A530" s="3">
        <v>42166</v>
      </c>
      <c r="B530" s="3" t="str">
        <f t="shared" si="66"/>
        <v>Jun</v>
      </c>
      <c r="C530" s="3" t="str">
        <f t="shared" si="67"/>
        <v>2015</v>
      </c>
      <c r="D530" s="3" t="str">
        <f t="shared" si="68"/>
        <v>Thursday</v>
      </c>
      <c r="E530">
        <v>68988.346669999999</v>
      </c>
      <c r="F530">
        <v>66539.165200000003</v>
      </c>
      <c r="G530">
        <v>1642</v>
      </c>
      <c r="H530" s="1">
        <f t="shared" si="69"/>
        <v>42.014827448233859</v>
      </c>
      <c r="I530" s="1" t="str">
        <f t="shared" si="70"/>
        <v>High</v>
      </c>
      <c r="J530">
        <f t="shared" si="71"/>
        <v>3.5501379409995883</v>
      </c>
      <c r="K530">
        <f t="shared" si="72"/>
        <v>40.523243118148599</v>
      </c>
      <c r="L530">
        <f t="shared" si="73"/>
        <v>3.5501379409995897</v>
      </c>
    </row>
    <row r="531" spans="1:12" x14ac:dyDescent="0.25">
      <c r="A531" s="3">
        <v>42167</v>
      </c>
      <c r="B531" s="3" t="str">
        <f t="shared" si="66"/>
        <v>Jun</v>
      </c>
      <c r="C531" s="3" t="str">
        <f t="shared" si="67"/>
        <v>2015</v>
      </c>
      <c r="D531" s="3" t="str">
        <f t="shared" si="68"/>
        <v>Friday</v>
      </c>
      <c r="E531">
        <v>155156.8792</v>
      </c>
      <c r="F531">
        <v>149423.24359999999</v>
      </c>
      <c r="G531">
        <v>3690</v>
      </c>
      <c r="H531" s="1">
        <f t="shared" si="69"/>
        <v>42.047934742547426</v>
      </c>
      <c r="I531" s="1" t="str">
        <f t="shared" si="70"/>
        <v>High</v>
      </c>
      <c r="J531">
        <f t="shared" si="71"/>
        <v>3.6953795600704562</v>
      </c>
      <c r="K531">
        <f t="shared" si="72"/>
        <v>40.494103956639563</v>
      </c>
      <c r="L531">
        <f t="shared" si="73"/>
        <v>3.6953795600704593</v>
      </c>
    </row>
    <row r="532" spans="1:12" x14ac:dyDescent="0.25">
      <c r="A532" s="3">
        <v>42168</v>
      </c>
      <c r="B532" s="3" t="str">
        <f t="shared" si="66"/>
        <v>Jun</v>
      </c>
      <c r="C532" s="3" t="str">
        <f t="shared" si="67"/>
        <v>2015</v>
      </c>
      <c r="D532" s="3" t="str">
        <f t="shared" si="68"/>
        <v>Saturday</v>
      </c>
      <c r="E532">
        <v>185109.52309999999</v>
      </c>
      <c r="F532">
        <v>178347.3694</v>
      </c>
      <c r="G532">
        <v>4404</v>
      </c>
      <c r="H532" s="1">
        <f t="shared" si="69"/>
        <v>42.032135127157126</v>
      </c>
      <c r="I532" s="1" t="str">
        <f t="shared" si="70"/>
        <v>High</v>
      </c>
      <c r="J532">
        <f t="shared" si="71"/>
        <v>3.6530555461195475</v>
      </c>
      <c r="K532">
        <f t="shared" si="72"/>
        <v>40.496677883742052</v>
      </c>
      <c r="L532">
        <f t="shared" si="73"/>
        <v>3.6530555461195426</v>
      </c>
    </row>
    <row r="533" spans="1:12" x14ac:dyDescent="0.25">
      <c r="A533" s="3">
        <v>42169</v>
      </c>
      <c r="B533" s="3" t="str">
        <f t="shared" si="66"/>
        <v>Jun</v>
      </c>
      <c r="C533" s="3" t="str">
        <f t="shared" si="67"/>
        <v>2015</v>
      </c>
      <c r="D533" s="3" t="str">
        <f t="shared" si="68"/>
        <v>Sunday</v>
      </c>
      <c r="E533">
        <v>83779.544009999998</v>
      </c>
      <c r="F533">
        <v>80659.821809999994</v>
      </c>
      <c r="G533">
        <v>1992</v>
      </c>
      <c r="H533" s="1">
        <f t="shared" si="69"/>
        <v>42.058004021084336</v>
      </c>
      <c r="I533" s="1" t="str">
        <f t="shared" si="70"/>
        <v>High</v>
      </c>
      <c r="J533">
        <f t="shared" si="71"/>
        <v>3.7237278345984204</v>
      </c>
      <c r="K533">
        <f t="shared" si="72"/>
        <v>40.491878418674695</v>
      </c>
      <c r="L533">
        <f t="shared" si="73"/>
        <v>3.7237278345984239</v>
      </c>
    </row>
    <row r="534" spans="1:12" x14ac:dyDescent="0.25">
      <c r="A534" s="3">
        <v>42170</v>
      </c>
      <c r="B534" s="3" t="str">
        <f t="shared" si="66"/>
        <v>Jun</v>
      </c>
      <c r="C534" s="3" t="str">
        <f t="shared" si="67"/>
        <v>2015</v>
      </c>
      <c r="D534" s="3" t="str">
        <f t="shared" si="68"/>
        <v>Monday</v>
      </c>
      <c r="E534">
        <v>149501.57449999999</v>
      </c>
      <c r="F534">
        <v>143962.8719</v>
      </c>
      <c r="G534">
        <v>3557</v>
      </c>
      <c r="H534" s="1">
        <f t="shared" si="69"/>
        <v>42.030243041889229</v>
      </c>
      <c r="I534" s="1" t="str">
        <f t="shared" si="70"/>
        <v>High</v>
      </c>
      <c r="J534">
        <f t="shared" si="71"/>
        <v>3.7047787747546366</v>
      </c>
      <c r="K534">
        <f t="shared" si="72"/>
        <v>40.473115518695529</v>
      </c>
      <c r="L534">
        <f t="shared" si="73"/>
        <v>3.7047787747546357</v>
      </c>
    </row>
    <row r="535" spans="1:12" x14ac:dyDescent="0.25">
      <c r="A535" s="3">
        <v>42171</v>
      </c>
      <c r="B535" s="3" t="str">
        <f t="shared" si="66"/>
        <v>Jun</v>
      </c>
      <c r="C535" s="3" t="str">
        <f t="shared" si="67"/>
        <v>2015</v>
      </c>
      <c r="D535" s="3" t="str">
        <f t="shared" si="68"/>
        <v>Tuesday</v>
      </c>
      <c r="E535">
        <v>100477.2968</v>
      </c>
      <c r="F535">
        <v>96810.103579999995</v>
      </c>
      <c r="G535">
        <v>2395</v>
      </c>
      <c r="H535" s="1">
        <f t="shared" si="69"/>
        <v>41.952942296450935</v>
      </c>
      <c r="I535" s="1" t="str">
        <f t="shared" si="70"/>
        <v>High</v>
      </c>
      <c r="J535">
        <f t="shared" si="71"/>
        <v>3.6497729704049928</v>
      </c>
      <c r="K535">
        <f t="shared" si="72"/>
        <v>40.421755148225465</v>
      </c>
      <c r="L535">
        <f t="shared" si="73"/>
        <v>3.6497729704049937</v>
      </c>
    </row>
    <row r="536" spans="1:12" x14ac:dyDescent="0.25">
      <c r="A536" s="3">
        <v>42172</v>
      </c>
      <c r="B536" s="3" t="str">
        <f t="shared" si="66"/>
        <v>Jun</v>
      </c>
      <c r="C536" s="3" t="str">
        <f t="shared" si="67"/>
        <v>2015</v>
      </c>
      <c r="D536" s="3" t="str">
        <f t="shared" si="68"/>
        <v>Wednesday</v>
      </c>
      <c r="E536">
        <v>89072.705350000004</v>
      </c>
      <c r="F536">
        <v>85639.307750000007</v>
      </c>
      <c r="G536">
        <v>2120</v>
      </c>
      <c r="H536" s="1">
        <f t="shared" si="69"/>
        <v>42.015427051886796</v>
      </c>
      <c r="I536" s="1" t="str">
        <f t="shared" si="70"/>
        <v>High</v>
      </c>
      <c r="J536">
        <f t="shared" si="71"/>
        <v>3.8546012344734475</v>
      </c>
      <c r="K536">
        <f t="shared" si="72"/>
        <v>40.395899882075476</v>
      </c>
      <c r="L536">
        <f t="shared" si="73"/>
        <v>3.8546012344734502</v>
      </c>
    </row>
    <row r="537" spans="1:12" x14ac:dyDescent="0.25">
      <c r="A537" s="3">
        <v>42173</v>
      </c>
      <c r="B537" s="3" t="str">
        <f t="shared" si="66"/>
        <v>Jun</v>
      </c>
      <c r="C537" s="3" t="str">
        <f t="shared" si="67"/>
        <v>2015</v>
      </c>
      <c r="D537" s="3" t="str">
        <f t="shared" si="68"/>
        <v>Thursday</v>
      </c>
      <c r="E537">
        <v>78746.595860000001</v>
      </c>
      <c r="F537">
        <v>75673.781990000003</v>
      </c>
      <c r="G537">
        <v>1875</v>
      </c>
      <c r="H537" s="1">
        <f t="shared" si="69"/>
        <v>41.998184458666664</v>
      </c>
      <c r="I537" s="1" t="str">
        <f t="shared" si="70"/>
        <v>High</v>
      </c>
      <c r="J537">
        <f t="shared" si="71"/>
        <v>3.9021545457825435</v>
      </c>
      <c r="K537">
        <f t="shared" si="72"/>
        <v>40.35935039466667</v>
      </c>
      <c r="L537">
        <f t="shared" si="73"/>
        <v>3.9021545457825315</v>
      </c>
    </row>
    <row r="538" spans="1:12" x14ac:dyDescent="0.25">
      <c r="A538" s="3">
        <v>42174</v>
      </c>
      <c r="B538" s="3" t="str">
        <f t="shared" si="66"/>
        <v>Jun</v>
      </c>
      <c r="C538" s="3" t="str">
        <f t="shared" si="67"/>
        <v>2015</v>
      </c>
      <c r="D538" s="3" t="str">
        <f t="shared" si="68"/>
        <v>Friday</v>
      </c>
      <c r="E538">
        <v>141913.3824</v>
      </c>
      <c r="F538">
        <v>136017.75039999999</v>
      </c>
      <c r="G538">
        <v>3376</v>
      </c>
      <c r="H538" s="1">
        <f t="shared" si="69"/>
        <v>42.03595450236967</v>
      </c>
      <c r="I538" s="1" t="str">
        <f t="shared" si="70"/>
        <v>High</v>
      </c>
      <c r="J538">
        <f t="shared" si="71"/>
        <v>4.1543876273644598</v>
      </c>
      <c r="K538">
        <f t="shared" si="72"/>
        <v>40.289618009478673</v>
      </c>
      <c r="L538">
        <f t="shared" si="73"/>
        <v>4.1543876273644544</v>
      </c>
    </row>
    <row r="539" spans="1:12" x14ac:dyDescent="0.25">
      <c r="A539" s="3">
        <v>42175</v>
      </c>
      <c r="B539" s="3" t="str">
        <f t="shared" si="66"/>
        <v>Jun</v>
      </c>
      <c r="C539" s="3" t="str">
        <f t="shared" si="67"/>
        <v>2015</v>
      </c>
      <c r="D539" s="3" t="str">
        <f t="shared" si="68"/>
        <v>Saturday</v>
      </c>
      <c r="E539">
        <v>169304.27830000001</v>
      </c>
      <c r="F539">
        <v>162287.90919999999</v>
      </c>
      <c r="G539">
        <v>4027</v>
      </c>
      <c r="H539" s="1">
        <f t="shared" si="69"/>
        <v>42.042284156940653</v>
      </c>
      <c r="I539" s="1" t="str">
        <f t="shared" si="70"/>
        <v>High</v>
      </c>
      <c r="J539">
        <f t="shared" si="71"/>
        <v>4.1442361471617994</v>
      </c>
      <c r="K539">
        <f t="shared" si="72"/>
        <v>40.299952619816239</v>
      </c>
      <c r="L539">
        <f t="shared" si="73"/>
        <v>4.144236147161803</v>
      </c>
    </row>
    <row r="540" spans="1:12" x14ac:dyDescent="0.25">
      <c r="A540" s="3">
        <v>42176</v>
      </c>
      <c r="B540" s="3" t="str">
        <f t="shared" si="66"/>
        <v>Jun</v>
      </c>
      <c r="C540" s="3" t="str">
        <f t="shared" si="67"/>
        <v>2015</v>
      </c>
      <c r="D540" s="3" t="str">
        <f t="shared" si="68"/>
        <v>Sunday</v>
      </c>
      <c r="E540">
        <v>89512.242840000006</v>
      </c>
      <c r="F540">
        <v>85781.807029999996</v>
      </c>
      <c r="G540">
        <v>2128</v>
      </c>
      <c r="H540" s="1">
        <f t="shared" si="69"/>
        <v>42.064023890977445</v>
      </c>
      <c r="I540" s="1" t="str">
        <f t="shared" si="70"/>
        <v>High</v>
      </c>
      <c r="J540">
        <f t="shared" si="71"/>
        <v>4.1675146232991089</v>
      </c>
      <c r="K540">
        <f t="shared" si="72"/>
        <v>40.31099954417293</v>
      </c>
      <c r="L540">
        <f t="shared" si="73"/>
        <v>4.1675146232991089</v>
      </c>
    </row>
    <row r="541" spans="1:12" x14ac:dyDescent="0.25">
      <c r="A541" s="3">
        <v>42177</v>
      </c>
      <c r="B541" s="3" t="str">
        <f t="shared" si="66"/>
        <v>Jun</v>
      </c>
      <c r="C541" s="3" t="str">
        <f t="shared" si="67"/>
        <v>2015</v>
      </c>
      <c r="D541" s="3" t="str">
        <f t="shared" si="68"/>
        <v>Monday</v>
      </c>
      <c r="E541">
        <v>85984.075339999996</v>
      </c>
      <c r="F541">
        <v>82427.231539999993</v>
      </c>
      <c r="G541">
        <v>2046</v>
      </c>
      <c r="H541" s="1">
        <f t="shared" si="69"/>
        <v>42.025452267839682</v>
      </c>
      <c r="I541" s="1" t="str">
        <f t="shared" si="70"/>
        <v>High</v>
      </c>
      <c r="J541">
        <f t="shared" si="71"/>
        <v>4.1366308655823278</v>
      </c>
      <c r="K541">
        <f t="shared" si="72"/>
        <v>40.28701443792766</v>
      </c>
      <c r="L541">
        <f t="shared" si="73"/>
        <v>4.1366308655823234</v>
      </c>
    </row>
    <row r="542" spans="1:12" x14ac:dyDescent="0.25">
      <c r="A542" s="3">
        <v>42178</v>
      </c>
      <c r="B542" s="3" t="str">
        <f t="shared" si="66"/>
        <v>Jun</v>
      </c>
      <c r="C542" s="3" t="str">
        <f t="shared" si="67"/>
        <v>2015</v>
      </c>
      <c r="D542" s="3" t="str">
        <f t="shared" si="68"/>
        <v>Tuesday</v>
      </c>
      <c r="E542">
        <v>64956.462079999998</v>
      </c>
      <c r="F542">
        <v>62169.777119999999</v>
      </c>
      <c r="G542">
        <v>1546</v>
      </c>
      <c r="H542" s="1">
        <f t="shared" si="69"/>
        <v>42.015822820181114</v>
      </c>
      <c r="I542" s="1" t="str">
        <f t="shared" si="70"/>
        <v>High</v>
      </c>
      <c r="J542">
        <f t="shared" si="71"/>
        <v>4.2900811878700127</v>
      </c>
      <c r="K542">
        <f t="shared" si="72"/>
        <v>40.213309909443723</v>
      </c>
      <c r="L542">
        <f t="shared" si="73"/>
        <v>4.290081187870026</v>
      </c>
    </row>
    <row r="543" spans="1:12" x14ac:dyDescent="0.25">
      <c r="A543" s="3">
        <v>42179</v>
      </c>
      <c r="B543" s="3" t="str">
        <f t="shared" si="66"/>
        <v>Jun</v>
      </c>
      <c r="C543" s="3" t="str">
        <f t="shared" si="67"/>
        <v>2015</v>
      </c>
      <c r="D543" s="3" t="str">
        <f t="shared" si="68"/>
        <v>Wednesday</v>
      </c>
      <c r="E543">
        <v>106613.4328</v>
      </c>
      <c r="F543">
        <v>113428.4743</v>
      </c>
      <c r="G543">
        <v>2822</v>
      </c>
      <c r="H543" s="1">
        <f t="shared" si="69"/>
        <v>37.77938795180723</v>
      </c>
      <c r="I543" s="1" t="str">
        <f t="shared" si="70"/>
        <v>Medium</v>
      </c>
      <c r="J543">
        <f t="shared" si="71"/>
        <v>-6.3922915912337146</v>
      </c>
      <c r="K543">
        <f t="shared" si="72"/>
        <v>40.194356591070161</v>
      </c>
      <c r="L543">
        <f t="shared" si="73"/>
        <v>-6.3922915912336977</v>
      </c>
    </row>
    <row r="544" spans="1:12" x14ac:dyDescent="0.25">
      <c r="A544" s="3">
        <v>42180</v>
      </c>
      <c r="B544" s="3" t="str">
        <f t="shared" si="66"/>
        <v>Jun</v>
      </c>
      <c r="C544" s="3" t="str">
        <f t="shared" si="67"/>
        <v>2015</v>
      </c>
      <c r="D544" s="3" t="str">
        <f t="shared" si="68"/>
        <v>Thursday</v>
      </c>
      <c r="E544">
        <v>183843.8173</v>
      </c>
      <c r="F544">
        <v>195365.73069999999</v>
      </c>
      <c r="G544">
        <v>4865</v>
      </c>
      <c r="H544" s="1">
        <f t="shared" si="69"/>
        <v>37.789068304213771</v>
      </c>
      <c r="I544" s="1" t="str">
        <f t="shared" si="70"/>
        <v>Medium</v>
      </c>
      <c r="J544">
        <f t="shared" si="71"/>
        <v>-6.267229199880191</v>
      </c>
      <c r="K544">
        <f t="shared" si="72"/>
        <v>40.157395827338128</v>
      </c>
      <c r="L544">
        <f t="shared" si="73"/>
        <v>-6.2672291998801946</v>
      </c>
    </row>
    <row r="545" spans="1:12" x14ac:dyDescent="0.25">
      <c r="A545" s="3">
        <v>42181</v>
      </c>
      <c r="B545" s="3" t="str">
        <f t="shared" si="66"/>
        <v>Jun</v>
      </c>
      <c r="C545" s="3" t="str">
        <f t="shared" si="67"/>
        <v>2015</v>
      </c>
      <c r="D545" s="3" t="str">
        <f t="shared" si="68"/>
        <v>Friday</v>
      </c>
      <c r="E545">
        <v>319579.7941</v>
      </c>
      <c r="F545">
        <v>339241.69179999997</v>
      </c>
      <c r="G545">
        <v>8450</v>
      </c>
      <c r="H545" s="1">
        <f t="shared" si="69"/>
        <v>37.820093976331364</v>
      </c>
      <c r="I545" s="1" t="str">
        <f t="shared" si="70"/>
        <v>Medium</v>
      </c>
      <c r="J545">
        <f t="shared" si="71"/>
        <v>-6.1524220438816446</v>
      </c>
      <c r="K545">
        <f t="shared" si="72"/>
        <v>40.146945775147927</v>
      </c>
      <c r="L545">
        <f t="shared" si="73"/>
        <v>-6.1524220438816393</v>
      </c>
    </row>
    <row r="546" spans="1:12" x14ac:dyDescent="0.25">
      <c r="A546" s="3">
        <v>42182</v>
      </c>
      <c r="B546" s="3" t="str">
        <f t="shared" si="66"/>
        <v>Jun</v>
      </c>
      <c r="C546" s="3" t="str">
        <f t="shared" si="67"/>
        <v>2015</v>
      </c>
      <c r="D546" s="3" t="str">
        <f t="shared" si="68"/>
        <v>Saturday</v>
      </c>
      <c r="E546">
        <v>369245.75870000001</v>
      </c>
      <c r="F546">
        <v>392017.97350000002</v>
      </c>
      <c r="G546">
        <v>9770</v>
      </c>
      <c r="H546" s="1">
        <f t="shared" si="69"/>
        <v>37.79383405322416</v>
      </c>
      <c r="I546" s="1" t="str">
        <f t="shared" si="70"/>
        <v>Medium</v>
      </c>
      <c r="J546">
        <f t="shared" si="71"/>
        <v>-6.167224474066793</v>
      </c>
      <c r="K546">
        <f t="shared" si="72"/>
        <v>40.124664636642784</v>
      </c>
      <c r="L546">
        <f t="shared" si="73"/>
        <v>-6.167224474066777</v>
      </c>
    </row>
    <row r="547" spans="1:12" x14ac:dyDescent="0.25">
      <c r="A547" s="3">
        <v>42183</v>
      </c>
      <c r="B547" s="3" t="str">
        <f t="shared" si="66"/>
        <v>Jun</v>
      </c>
      <c r="C547" s="3" t="str">
        <f t="shared" si="67"/>
        <v>2015</v>
      </c>
      <c r="D547" s="3" t="str">
        <f t="shared" si="68"/>
        <v>Sunday</v>
      </c>
      <c r="E547">
        <v>185648.49110000001</v>
      </c>
      <c r="F547">
        <v>197095.10870000001</v>
      </c>
      <c r="G547">
        <v>4914</v>
      </c>
      <c r="H547" s="1">
        <f t="shared" si="69"/>
        <v>37.779505718355722</v>
      </c>
      <c r="I547" s="1" t="str">
        <f t="shared" si="70"/>
        <v>Medium</v>
      </c>
      <c r="J547">
        <f t="shared" si="71"/>
        <v>-6.1657477161148861</v>
      </c>
      <c r="K547">
        <f t="shared" si="72"/>
        <v>40.108894729344733</v>
      </c>
      <c r="L547">
        <f t="shared" si="73"/>
        <v>-6.1657477161148879</v>
      </c>
    </row>
    <row r="548" spans="1:12" x14ac:dyDescent="0.25">
      <c r="A548" s="3">
        <v>42184</v>
      </c>
      <c r="B548" s="3" t="str">
        <f t="shared" si="66"/>
        <v>Jun</v>
      </c>
      <c r="C548" s="3" t="str">
        <f t="shared" si="67"/>
        <v>2015</v>
      </c>
      <c r="D548" s="3" t="str">
        <f t="shared" si="68"/>
        <v>Monday</v>
      </c>
      <c r="E548">
        <v>165557.76180000001</v>
      </c>
      <c r="F548">
        <v>175871.1109</v>
      </c>
      <c r="G548">
        <v>4385</v>
      </c>
      <c r="H548" s="1">
        <f t="shared" si="69"/>
        <v>37.755475895096922</v>
      </c>
      <c r="I548" s="1" t="str">
        <f t="shared" si="70"/>
        <v>Medium</v>
      </c>
      <c r="J548">
        <f t="shared" si="71"/>
        <v>-6.2294567091689155</v>
      </c>
      <c r="K548">
        <f t="shared" si="72"/>
        <v>40.107436921322694</v>
      </c>
      <c r="L548">
        <f t="shared" si="73"/>
        <v>-6.2294567091689288</v>
      </c>
    </row>
    <row r="549" spans="1:12" x14ac:dyDescent="0.25">
      <c r="A549" s="3">
        <v>42185</v>
      </c>
      <c r="B549" s="3" t="str">
        <f t="shared" si="66"/>
        <v>Jun</v>
      </c>
      <c r="C549" s="3" t="str">
        <f t="shared" si="67"/>
        <v>2015</v>
      </c>
      <c r="D549" s="3" t="str">
        <f t="shared" si="68"/>
        <v>Tuesday</v>
      </c>
      <c r="E549">
        <v>212465.08319999999</v>
      </c>
      <c r="F549">
        <v>225678.9345</v>
      </c>
      <c r="G549">
        <v>5627</v>
      </c>
      <c r="H549" s="1">
        <f t="shared" si="69"/>
        <v>37.758145228363247</v>
      </c>
      <c r="I549" s="1" t="str">
        <f t="shared" si="70"/>
        <v>Medium</v>
      </c>
      <c r="J549">
        <f t="shared" si="71"/>
        <v>-6.2193048857639353</v>
      </c>
      <c r="K549">
        <f t="shared" si="72"/>
        <v>40.106439399324685</v>
      </c>
      <c r="L549">
        <f t="shared" si="73"/>
        <v>-6.2193048857639361</v>
      </c>
    </row>
    <row r="550" spans="1:12" x14ac:dyDescent="0.25">
      <c r="A550" s="3">
        <v>42186</v>
      </c>
      <c r="B550" s="3" t="str">
        <f t="shared" si="66"/>
        <v>Jul</v>
      </c>
      <c r="C550" s="3" t="str">
        <f t="shared" si="67"/>
        <v>2015</v>
      </c>
      <c r="D550" s="3" t="str">
        <f t="shared" si="68"/>
        <v>Wednesday</v>
      </c>
      <c r="E550">
        <v>305231.9081</v>
      </c>
      <c r="F550">
        <v>324248.84149999998</v>
      </c>
      <c r="G550">
        <v>8086</v>
      </c>
      <c r="H550" s="1">
        <f t="shared" si="69"/>
        <v>37.748195411822905</v>
      </c>
      <c r="I550" s="1" t="str">
        <f t="shared" si="70"/>
        <v>Medium</v>
      </c>
      <c r="J550">
        <f t="shared" si="71"/>
        <v>-6.2303228775707344</v>
      </c>
      <c r="K550">
        <f t="shared" si="72"/>
        <v>40.100029866435811</v>
      </c>
      <c r="L550">
        <f t="shared" si="73"/>
        <v>-6.2303228775707264</v>
      </c>
    </row>
    <row r="551" spans="1:12" x14ac:dyDescent="0.25">
      <c r="A551" s="3">
        <v>42187</v>
      </c>
      <c r="B551" s="3" t="str">
        <f t="shared" si="66"/>
        <v>Jul</v>
      </c>
      <c r="C551" s="3" t="str">
        <f t="shared" si="67"/>
        <v>2015</v>
      </c>
      <c r="D551" s="3" t="str">
        <f t="shared" si="68"/>
        <v>Thursday</v>
      </c>
      <c r="E551">
        <v>250481.6177</v>
      </c>
      <c r="F551">
        <v>266061.92839999998</v>
      </c>
      <c r="G551">
        <v>6639</v>
      </c>
      <c r="H551" s="1">
        <f t="shared" si="69"/>
        <v>37.728817246573279</v>
      </c>
      <c r="I551" s="1" t="str">
        <f t="shared" si="70"/>
        <v>Medium</v>
      </c>
      <c r="J551">
        <f t="shared" si="71"/>
        <v>-6.2201413592994266</v>
      </c>
      <c r="K551">
        <f t="shared" si="72"/>
        <v>40.07560301250188</v>
      </c>
      <c r="L551">
        <f t="shared" si="73"/>
        <v>-6.2201413592994301</v>
      </c>
    </row>
    <row r="552" spans="1:12" x14ac:dyDescent="0.25">
      <c r="A552" s="3">
        <v>42188</v>
      </c>
      <c r="B552" s="3" t="str">
        <f t="shared" si="66"/>
        <v>Jul</v>
      </c>
      <c r="C552" s="3" t="str">
        <f t="shared" si="67"/>
        <v>2015</v>
      </c>
      <c r="D552" s="3" t="str">
        <f t="shared" si="68"/>
        <v>Friday</v>
      </c>
      <c r="E552">
        <v>268410.48070000001</v>
      </c>
      <c r="F552">
        <v>284592.99469999998</v>
      </c>
      <c r="G552">
        <v>7104</v>
      </c>
      <c r="H552" s="1">
        <f t="shared" si="69"/>
        <v>37.783006855292797</v>
      </c>
      <c r="I552" s="1" t="str">
        <f t="shared" si="70"/>
        <v>Medium</v>
      </c>
      <c r="J552">
        <f t="shared" si="71"/>
        <v>-6.0290171821148135</v>
      </c>
      <c r="K552">
        <f t="shared" si="72"/>
        <v>40.060950830518017</v>
      </c>
      <c r="L552">
        <f t="shared" si="73"/>
        <v>-6.0290171821148126</v>
      </c>
    </row>
    <row r="553" spans="1:12" x14ac:dyDescent="0.25">
      <c r="A553" s="3">
        <v>42189</v>
      </c>
      <c r="B553" s="3" t="str">
        <f t="shared" si="66"/>
        <v>Jul</v>
      </c>
      <c r="C553" s="3" t="str">
        <f t="shared" si="67"/>
        <v>2015</v>
      </c>
      <c r="D553" s="3" t="str">
        <f t="shared" si="68"/>
        <v>Saturday</v>
      </c>
      <c r="E553">
        <v>316365.4987</v>
      </c>
      <c r="F553">
        <v>335025.07640000002</v>
      </c>
      <c r="G553">
        <v>8364</v>
      </c>
      <c r="H553" s="1">
        <f t="shared" si="69"/>
        <v>37.824665076518414</v>
      </c>
      <c r="I553" s="1" t="str">
        <f t="shared" si="70"/>
        <v>Medium</v>
      </c>
      <c r="J553">
        <f t="shared" si="71"/>
        <v>-5.8981076560735684</v>
      </c>
      <c r="K553">
        <f t="shared" si="72"/>
        <v>40.05560454328073</v>
      </c>
      <c r="L553">
        <f t="shared" si="73"/>
        <v>-5.8981076560735621</v>
      </c>
    </row>
    <row r="554" spans="1:12" x14ac:dyDescent="0.25">
      <c r="A554" s="3">
        <v>42190</v>
      </c>
      <c r="B554" s="3" t="str">
        <f t="shared" si="66"/>
        <v>Jul</v>
      </c>
      <c r="C554" s="3" t="str">
        <f t="shared" si="67"/>
        <v>2015</v>
      </c>
      <c r="D554" s="3" t="str">
        <f t="shared" si="68"/>
        <v>Sunday</v>
      </c>
      <c r="E554">
        <v>156873.04370000001</v>
      </c>
      <c r="F554">
        <v>165968.62450000001</v>
      </c>
      <c r="G554">
        <v>4146</v>
      </c>
      <c r="H554" s="1">
        <f t="shared" si="69"/>
        <v>37.837203014954177</v>
      </c>
      <c r="I554" s="1" t="str">
        <f t="shared" si="70"/>
        <v>Medium</v>
      </c>
      <c r="J554">
        <f t="shared" si="71"/>
        <v>-5.7980520970793119</v>
      </c>
      <c r="K554">
        <f t="shared" si="72"/>
        <v>40.031023757838881</v>
      </c>
      <c r="L554">
        <f t="shared" si="73"/>
        <v>-5.7980520970793021</v>
      </c>
    </row>
    <row r="555" spans="1:12" x14ac:dyDescent="0.25">
      <c r="A555" s="3">
        <v>42191</v>
      </c>
      <c r="B555" s="3" t="str">
        <f t="shared" si="66"/>
        <v>Jul</v>
      </c>
      <c r="C555" s="3" t="str">
        <f t="shared" si="67"/>
        <v>2015</v>
      </c>
      <c r="D555" s="3" t="str">
        <f t="shared" si="68"/>
        <v>Monday</v>
      </c>
      <c r="E555">
        <v>173987.75150000001</v>
      </c>
      <c r="F555">
        <v>184188.97899999999</v>
      </c>
      <c r="G555">
        <v>4601</v>
      </c>
      <c r="H555" s="1">
        <f t="shared" si="69"/>
        <v>37.815203542708112</v>
      </c>
      <c r="I555" s="1" t="str">
        <f t="shared" si="70"/>
        <v>Medium</v>
      </c>
      <c r="J555">
        <f t="shared" si="71"/>
        <v>-5.8631871565970428</v>
      </c>
      <c r="K555">
        <f t="shared" si="72"/>
        <v>40.032379700065199</v>
      </c>
      <c r="L555">
        <f t="shared" si="73"/>
        <v>-5.8631871565970313</v>
      </c>
    </row>
    <row r="556" spans="1:12" x14ac:dyDescent="0.25">
      <c r="A556" s="3">
        <v>42192</v>
      </c>
      <c r="B556" s="3" t="str">
        <f t="shared" si="66"/>
        <v>Jul</v>
      </c>
      <c r="C556" s="3" t="str">
        <f t="shared" si="67"/>
        <v>2015</v>
      </c>
      <c r="D556" s="3" t="str">
        <f t="shared" si="68"/>
        <v>Tuesday</v>
      </c>
      <c r="E556">
        <v>135753.766</v>
      </c>
      <c r="F556">
        <v>143799.5987</v>
      </c>
      <c r="G556">
        <v>3593</v>
      </c>
      <c r="H556" s="1">
        <f t="shared" si="69"/>
        <v>37.782846089618701</v>
      </c>
      <c r="I556" s="1" t="str">
        <f t="shared" si="70"/>
        <v>Medium</v>
      </c>
      <c r="J556">
        <f t="shared" si="71"/>
        <v>-5.9267841600799489</v>
      </c>
      <c r="K556">
        <f t="shared" si="72"/>
        <v>40.022153826885614</v>
      </c>
      <c r="L556">
        <f t="shared" si="73"/>
        <v>-5.9267841600799622</v>
      </c>
    </row>
    <row r="557" spans="1:12" x14ac:dyDescent="0.25">
      <c r="A557" s="3">
        <v>42193</v>
      </c>
      <c r="B557" s="3" t="str">
        <f t="shared" si="66"/>
        <v>Jul</v>
      </c>
      <c r="C557" s="3" t="str">
        <f t="shared" si="67"/>
        <v>2015</v>
      </c>
      <c r="D557" s="3" t="str">
        <f t="shared" si="68"/>
        <v>Wednesday</v>
      </c>
      <c r="E557">
        <v>84426.509409999999</v>
      </c>
      <c r="F557">
        <v>84588.963040000002</v>
      </c>
      <c r="G557">
        <v>2114</v>
      </c>
      <c r="H557" s="1">
        <f t="shared" si="69"/>
        <v>39.936854025543994</v>
      </c>
      <c r="I557" s="1" t="str">
        <f t="shared" si="70"/>
        <v>Medium</v>
      </c>
      <c r="J557">
        <f t="shared" si="71"/>
        <v>-0.19242016652741253</v>
      </c>
      <c r="K557">
        <f t="shared" si="72"/>
        <v>40.013700586565754</v>
      </c>
      <c r="L557">
        <f t="shared" si="73"/>
        <v>-0.19242016652740987</v>
      </c>
    </row>
    <row r="558" spans="1:12" x14ac:dyDescent="0.25">
      <c r="A558" s="3">
        <v>42194</v>
      </c>
      <c r="B558" s="3" t="str">
        <f t="shared" si="66"/>
        <v>Jul</v>
      </c>
      <c r="C558" s="3" t="str">
        <f t="shared" si="67"/>
        <v>2015</v>
      </c>
      <c r="D558" s="3" t="str">
        <f t="shared" si="68"/>
        <v>Thursday</v>
      </c>
      <c r="E558">
        <v>70815.190289999999</v>
      </c>
      <c r="F558">
        <v>71913.068580000006</v>
      </c>
      <c r="G558">
        <v>1797</v>
      </c>
      <c r="H558" s="1">
        <f t="shared" si="69"/>
        <v>39.407451469115195</v>
      </c>
      <c r="I558" s="1" t="str">
        <f t="shared" si="70"/>
        <v>Medium</v>
      </c>
      <c r="J558">
        <f t="shared" si="71"/>
        <v>-1.5503429214890385</v>
      </c>
      <c r="K558">
        <f t="shared" si="72"/>
        <v>40.018402103505849</v>
      </c>
      <c r="L558">
        <f t="shared" si="73"/>
        <v>-1.5503429214890361</v>
      </c>
    </row>
    <row r="559" spans="1:12" x14ac:dyDescent="0.25">
      <c r="A559" s="3">
        <v>42195</v>
      </c>
      <c r="B559" s="3" t="str">
        <f t="shared" si="66"/>
        <v>Jul</v>
      </c>
      <c r="C559" s="3" t="str">
        <f t="shared" si="67"/>
        <v>2015</v>
      </c>
      <c r="D559" s="3" t="str">
        <f t="shared" si="68"/>
        <v>Friday</v>
      </c>
      <c r="E559">
        <v>125983.15180000001</v>
      </c>
      <c r="F559">
        <v>127884.58719999999</v>
      </c>
      <c r="G559">
        <v>3195</v>
      </c>
      <c r="H559" s="1">
        <f t="shared" si="69"/>
        <v>39.431346416275431</v>
      </c>
      <c r="I559" s="1" t="str">
        <f t="shared" si="70"/>
        <v>Medium</v>
      </c>
      <c r="J559">
        <f t="shared" si="71"/>
        <v>-1.5092775286480709</v>
      </c>
      <c r="K559">
        <f t="shared" si="72"/>
        <v>40.026474866979655</v>
      </c>
      <c r="L559">
        <f t="shared" si="73"/>
        <v>-1.5092775286480751</v>
      </c>
    </row>
    <row r="560" spans="1:12" x14ac:dyDescent="0.25">
      <c r="A560" s="3">
        <v>42196</v>
      </c>
      <c r="B560" s="3" t="str">
        <f t="shared" si="66"/>
        <v>Jul</v>
      </c>
      <c r="C560" s="3" t="str">
        <f t="shared" si="67"/>
        <v>2015</v>
      </c>
      <c r="D560" s="3" t="str">
        <f t="shared" si="68"/>
        <v>Saturday</v>
      </c>
      <c r="E560">
        <v>142378.18400000001</v>
      </c>
      <c r="F560">
        <v>143924.56510000001</v>
      </c>
      <c r="G560">
        <v>3595</v>
      </c>
      <c r="H560" s="1">
        <f t="shared" si="69"/>
        <v>39.604501808066765</v>
      </c>
      <c r="I560" s="1" t="str">
        <f t="shared" si="70"/>
        <v>Medium</v>
      </c>
      <c r="J560">
        <f t="shared" si="71"/>
        <v>-1.0861081779214143</v>
      </c>
      <c r="K560">
        <f t="shared" si="72"/>
        <v>40.034649541029211</v>
      </c>
      <c r="L560">
        <f t="shared" si="73"/>
        <v>-1.0861081779214108</v>
      </c>
    </row>
    <row r="561" spans="1:12" x14ac:dyDescent="0.25">
      <c r="A561" s="3">
        <v>42197</v>
      </c>
      <c r="B561" s="3" t="str">
        <f t="shared" si="66"/>
        <v>Jul</v>
      </c>
      <c r="C561" s="3" t="str">
        <f t="shared" si="67"/>
        <v>2015</v>
      </c>
      <c r="D561" s="3" t="str">
        <f t="shared" si="68"/>
        <v>Sunday</v>
      </c>
      <c r="E561">
        <v>57427.680710000001</v>
      </c>
      <c r="F561">
        <v>58723.040529999998</v>
      </c>
      <c r="G561">
        <v>1467</v>
      </c>
      <c r="H561" s="1">
        <f t="shared" si="69"/>
        <v>39.146339952283576</v>
      </c>
      <c r="I561" s="1" t="str">
        <f t="shared" si="70"/>
        <v>Medium</v>
      </c>
      <c r="J561">
        <f t="shared" si="71"/>
        <v>-2.2556366615976433</v>
      </c>
      <c r="K561">
        <f t="shared" si="72"/>
        <v>40.029339147920929</v>
      </c>
      <c r="L561">
        <f t="shared" si="73"/>
        <v>-2.255636661597642</v>
      </c>
    </row>
    <row r="562" spans="1:12" x14ac:dyDescent="0.25">
      <c r="A562" s="3">
        <v>42198</v>
      </c>
      <c r="B562" s="3" t="str">
        <f t="shared" si="66"/>
        <v>Jul</v>
      </c>
      <c r="C562" s="3" t="str">
        <f t="shared" si="67"/>
        <v>2015</v>
      </c>
      <c r="D562" s="3" t="str">
        <f t="shared" si="68"/>
        <v>Monday</v>
      </c>
      <c r="E562">
        <v>63331.330999999998</v>
      </c>
      <c r="F562">
        <v>64690.059070000003</v>
      </c>
      <c r="G562">
        <v>1610</v>
      </c>
      <c r="H562" s="1">
        <f t="shared" si="69"/>
        <v>39.336230434782607</v>
      </c>
      <c r="I562" s="1" t="str">
        <f t="shared" si="70"/>
        <v>Medium</v>
      </c>
      <c r="J562">
        <f t="shared" si="71"/>
        <v>-2.1454279399244029</v>
      </c>
      <c r="K562">
        <f t="shared" si="72"/>
        <v>40.18016091304348</v>
      </c>
      <c r="L562">
        <f t="shared" si="73"/>
        <v>-2.1454279399244038</v>
      </c>
    </row>
    <row r="563" spans="1:12" x14ac:dyDescent="0.25">
      <c r="A563" s="3">
        <v>42199</v>
      </c>
      <c r="B563" s="3" t="str">
        <f t="shared" si="66"/>
        <v>Jul</v>
      </c>
      <c r="C563" s="3" t="str">
        <f t="shared" si="67"/>
        <v>2015</v>
      </c>
      <c r="D563" s="3" t="str">
        <f t="shared" si="68"/>
        <v>Tuesday</v>
      </c>
      <c r="E563">
        <v>51241.028550000003</v>
      </c>
      <c r="F563">
        <v>52509.916219999999</v>
      </c>
      <c r="G563">
        <v>1307</v>
      </c>
      <c r="H563" s="1">
        <f t="shared" si="69"/>
        <v>39.205071576128539</v>
      </c>
      <c r="I563" s="1" t="str">
        <f t="shared" si="70"/>
        <v>Medium</v>
      </c>
      <c r="J563">
        <f t="shared" si="71"/>
        <v>-2.4763118655236211</v>
      </c>
      <c r="K563">
        <f t="shared" si="72"/>
        <v>40.175911415455239</v>
      </c>
      <c r="L563">
        <f t="shared" si="73"/>
        <v>-2.4763118655236229</v>
      </c>
    </row>
    <row r="564" spans="1:12" x14ac:dyDescent="0.25">
      <c r="A564" s="3">
        <v>42200</v>
      </c>
      <c r="B564" s="3" t="str">
        <f t="shared" si="66"/>
        <v>Jul</v>
      </c>
      <c r="C564" s="3" t="str">
        <f t="shared" si="67"/>
        <v>2015</v>
      </c>
      <c r="D564" s="3" t="str">
        <f t="shared" si="68"/>
        <v>Wednesday</v>
      </c>
      <c r="E564">
        <v>80326.44081</v>
      </c>
      <c r="F564">
        <v>81730.270699999994</v>
      </c>
      <c r="G564">
        <v>2050</v>
      </c>
      <c r="H564" s="1">
        <f t="shared" si="69"/>
        <v>39.183629663414635</v>
      </c>
      <c r="I564" s="1" t="str">
        <f t="shared" si="70"/>
        <v>Medium</v>
      </c>
      <c r="J564">
        <f t="shared" si="71"/>
        <v>-1.747656034356782</v>
      </c>
      <c r="K564">
        <f t="shared" si="72"/>
        <v>39.868424731707314</v>
      </c>
      <c r="L564">
        <f t="shared" si="73"/>
        <v>-1.7476560343567804</v>
      </c>
    </row>
    <row r="565" spans="1:12" x14ac:dyDescent="0.25">
      <c r="A565" s="3">
        <v>42201</v>
      </c>
      <c r="B565" s="3" t="str">
        <f t="shared" si="66"/>
        <v>Jul</v>
      </c>
      <c r="C565" s="3" t="str">
        <f t="shared" si="67"/>
        <v>2015</v>
      </c>
      <c r="D565" s="3" t="str">
        <f t="shared" si="68"/>
        <v>Thursday</v>
      </c>
      <c r="E565">
        <v>71912.565730000002</v>
      </c>
      <c r="F565">
        <v>73762.62917</v>
      </c>
      <c r="G565">
        <v>1849</v>
      </c>
      <c r="H565" s="1">
        <f t="shared" si="69"/>
        <v>38.892680221741486</v>
      </c>
      <c r="I565" s="1" t="str">
        <f t="shared" si="70"/>
        <v>Medium</v>
      </c>
      <c r="J565">
        <f t="shared" si="71"/>
        <v>-2.572656699451068</v>
      </c>
      <c r="K565">
        <f t="shared" si="72"/>
        <v>39.893255365062195</v>
      </c>
      <c r="L565">
        <f t="shared" si="73"/>
        <v>-2.5726566994510596</v>
      </c>
    </row>
    <row r="566" spans="1:12" x14ac:dyDescent="0.25">
      <c r="A566" s="3">
        <v>42202</v>
      </c>
      <c r="B566" s="3" t="str">
        <f t="shared" si="66"/>
        <v>Jul</v>
      </c>
      <c r="C566" s="3" t="str">
        <f t="shared" si="67"/>
        <v>2015</v>
      </c>
      <c r="D566" s="3" t="str">
        <f t="shared" si="68"/>
        <v>Friday</v>
      </c>
      <c r="E566">
        <v>119204.3095</v>
      </c>
      <c r="F566">
        <v>122669.6994</v>
      </c>
      <c r="G566">
        <v>3070</v>
      </c>
      <c r="H566" s="1">
        <f t="shared" si="69"/>
        <v>38.828765309446254</v>
      </c>
      <c r="I566" s="1" t="str">
        <f t="shared" si="70"/>
        <v>Medium</v>
      </c>
      <c r="J566">
        <f t="shared" si="71"/>
        <v>-2.907101189995144</v>
      </c>
      <c r="K566">
        <f t="shared" si="72"/>
        <v>39.957556807817589</v>
      </c>
      <c r="L566">
        <f t="shared" si="73"/>
        <v>-2.9071011899951471</v>
      </c>
    </row>
    <row r="567" spans="1:12" x14ac:dyDescent="0.25">
      <c r="A567" s="3">
        <v>42203</v>
      </c>
      <c r="B567" s="3" t="str">
        <f t="shared" si="66"/>
        <v>Jul</v>
      </c>
      <c r="C567" s="3" t="str">
        <f t="shared" si="67"/>
        <v>2015</v>
      </c>
      <c r="D567" s="3" t="str">
        <f t="shared" si="68"/>
        <v>Saturday</v>
      </c>
      <c r="E567">
        <v>129441.2787</v>
      </c>
      <c r="F567">
        <v>132493.43150000001</v>
      </c>
      <c r="G567">
        <v>3322</v>
      </c>
      <c r="H567" s="1">
        <f t="shared" si="69"/>
        <v>38.964864148103551</v>
      </c>
      <c r="I567" s="1" t="str">
        <f t="shared" si="70"/>
        <v>Medium</v>
      </c>
      <c r="J567">
        <f t="shared" si="71"/>
        <v>-2.3579439500700872</v>
      </c>
      <c r="K567">
        <f t="shared" si="72"/>
        <v>39.883633804936785</v>
      </c>
      <c r="L567">
        <f t="shared" si="73"/>
        <v>-2.3579439500700823</v>
      </c>
    </row>
    <row r="568" spans="1:12" x14ac:dyDescent="0.25">
      <c r="A568" s="3">
        <v>42204</v>
      </c>
      <c r="B568" s="3" t="str">
        <f t="shared" si="66"/>
        <v>Jul</v>
      </c>
      <c r="C568" s="3" t="str">
        <f t="shared" si="67"/>
        <v>2015</v>
      </c>
      <c r="D568" s="3" t="str">
        <f t="shared" si="68"/>
        <v>Sunday</v>
      </c>
      <c r="E568">
        <v>77645.749939999994</v>
      </c>
      <c r="F568">
        <v>79555.634739999994</v>
      </c>
      <c r="G568">
        <v>1982</v>
      </c>
      <c r="H568" s="1">
        <f t="shared" si="69"/>
        <v>39.175454056508578</v>
      </c>
      <c r="I568" s="1" t="str">
        <f t="shared" si="70"/>
        <v>Medium</v>
      </c>
      <c r="J568">
        <f t="shared" si="71"/>
        <v>-2.4597415846660571</v>
      </c>
      <c r="K568">
        <f t="shared" si="72"/>
        <v>40.139068990918261</v>
      </c>
      <c r="L568">
        <f t="shared" si="73"/>
        <v>-2.4597415846660478</v>
      </c>
    </row>
    <row r="569" spans="1:12" x14ac:dyDescent="0.25">
      <c r="A569" s="3">
        <v>42205</v>
      </c>
      <c r="B569" s="3" t="str">
        <f t="shared" si="66"/>
        <v>Jul</v>
      </c>
      <c r="C569" s="3" t="str">
        <f t="shared" si="67"/>
        <v>2015</v>
      </c>
      <c r="D569" s="3" t="str">
        <f t="shared" si="68"/>
        <v>Monday</v>
      </c>
      <c r="E569">
        <v>69926.65036</v>
      </c>
      <c r="F569">
        <v>71362.51784</v>
      </c>
      <c r="G569">
        <v>1787</v>
      </c>
      <c r="H569" s="1">
        <f t="shared" si="69"/>
        <v>39.13075006155568</v>
      </c>
      <c r="I569" s="1" t="str">
        <f t="shared" si="70"/>
        <v>Medium</v>
      </c>
      <c r="J569">
        <f t="shared" si="71"/>
        <v>-2.0533909069114475</v>
      </c>
      <c r="K569">
        <f t="shared" si="72"/>
        <v>39.934257325125913</v>
      </c>
      <c r="L569">
        <f t="shared" si="73"/>
        <v>-2.0533909069114524</v>
      </c>
    </row>
    <row r="570" spans="1:12" x14ac:dyDescent="0.25">
      <c r="A570" s="3">
        <v>42206</v>
      </c>
      <c r="B570" s="3" t="str">
        <f t="shared" si="66"/>
        <v>Jul</v>
      </c>
      <c r="C570" s="3" t="str">
        <f t="shared" si="67"/>
        <v>2015</v>
      </c>
      <c r="D570" s="3" t="str">
        <f t="shared" si="68"/>
        <v>Tuesday</v>
      </c>
      <c r="E570">
        <v>71973.044299999994</v>
      </c>
      <c r="F570">
        <v>73851.788400000005</v>
      </c>
      <c r="G570">
        <v>1846</v>
      </c>
      <c r="H570" s="1">
        <f t="shared" si="69"/>
        <v>38.988648049837487</v>
      </c>
      <c r="I570" s="1" t="str">
        <f t="shared" si="70"/>
        <v>Medium</v>
      </c>
      <c r="J570">
        <f t="shared" si="71"/>
        <v>-2.6103440784983039</v>
      </c>
      <c r="K570">
        <f t="shared" si="72"/>
        <v>40.006385915492963</v>
      </c>
      <c r="L570">
        <f t="shared" si="73"/>
        <v>-2.6103440784983016</v>
      </c>
    </row>
    <row r="571" spans="1:12" x14ac:dyDescent="0.25">
      <c r="A571" s="3">
        <v>42207</v>
      </c>
      <c r="B571" s="3" t="str">
        <f t="shared" si="66"/>
        <v>Jul</v>
      </c>
      <c r="C571" s="3" t="str">
        <f t="shared" si="67"/>
        <v>2015</v>
      </c>
      <c r="D571" s="3" t="str">
        <f t="shared" si="68"/>
        <v>Wednesday</v>
      </c>
      <c r="E571">
        <v>44304.898359999999</v>
      </c>
      <c r="F571">
        <v>45468.83698</v>
      </c>
      <c r="G571">
        <v>1142</v>
      </c>
      <c r="H571" s="1">
        <f t="shared" si="69"/>
        <v>38.795882977232921</v>
      </c>
      <c r="I571" s="1" t="str">
        <f t="shared" si="70"/>
        <v>Medium</v>
      </c>
      <c r="J571">
        <f t="shared" si="71"/>
        <v>-2.6271104620134844</v>
      </c>
      <c r="K571">
        <f t="shared" si="72"/>
        <v>39.81509367775832</v>
      </c>
      <c r="L571">
        <f t="shared" si="73"/>
        <v>-2.6271104620134955</v>
      </c>
    </row>
    <row r="572" spans="1:12" x14ac:dyDescent="0.25">
      <c r="A572" s="3">
        <v>42208</v>
      </c>
      <c r="B572" s="3" t="str">
        <f t="shared" si="66"/>
        <v>Jul</v>
      </c>
      <c r="C572" s="3" t="str">
        <f t="shared" si="67"/>
        <v>2015</v>
      </c>
      <c r="D572" s="3" t="str">
        <f t="shared" si="68"/>
        <v>Thursday</v>
      </c>
      <c r="E572">
        <v>66799.723729999998</v>
      </c>
      <c r="F572">
        <v>69323.647870000001</v>
      </c>
      <c r="G572">
        <v>1734</v>
      </c>
      <c r="H572" s="1">
        <f t="shared" si="69"/>
        <v>38.523485426758938</v>
      </c>
      <c r="I572" s="1" t="str">
        <f t="shared" si="70"/>
        <v>Medium</v>
      </c>
      <c r="J572">
        <f t="shared" si="71"/>
        <v>-3.7783451772967429</v>
      </c>
      <c r="K572">
        <f t="shared" si="72"/>
        <v>39.979035680507501</v>
      </c>
      <c r="L572">
        <f t="shared" si="73"/>
        <v>-3.7783451772967491</v>
      </c>
    </row>
    <row r="573" spans="1:12" x14ac:dyDescent="0.25">
      <c r="A573" s="3">
        <v>42209</v>
      </c>
      <c r="B573" s="3" t="str">
        <f t="shared" si="66"/>
        <v>Jul</v>
      </c>
      <c r="C573" s="3" t="str">
        <f t="shared" si="67"/>
        <v>2015</v>
      </c>
      <c r="D573" s="3" t="str">
        <f t="shared" si="68"/>
        <v>Friday</v>
      </c>
      <c r="E573">
        <v>125689.5928</v>
      </c>
      <c r="F573">
        <v>130428.2264</v>
      </c>
      <c r="G573">
        <v>3259</v>
      </c>
      <c r="H573" s="1">
        <f t="shared" si="69"/>
        <v>38.566920159558144</v>
      </c>
      <c r="I573" s="1" t="str">
        <f t="shared" si="70"/>
        <v>Medium</v>
      </c>
      <c r="J573">
        <f t="shared" si="71"/>
        <v>-3.770108164436667</v>
      </c>
      <c r="K573">
        <f t="shared" si="72"/>
        <v>40.020934765265416</v>
      </c>
      <c r="L573">
        <f t="shared" si="73"/>
        <v>-3.7701081644366656</v>
      </c>
    </row>
    <row r="574" spans="1:12" x14ac:dyDescent="0.25">
      <c r="A574" s="3">
        <v>42210</v>
      </c>
      <c r="B574" s="3" t="str">
        <f t="shared" si="66"/>
        <v>Jul</v>
      </c>
      <c r="C574" s="3" t="str">
        <f t="shared" si="67"/>
        <v>2015</v>
      </c>
      <c r="D574" s="3" t="str">
        <f t="shared" si="68"/>
        <v>Saturday</v>
      </c>
      <c r="E574">
        <v>138624.94500000001</v>
      </c>
      <c r="F574">
        <v>143537.3952</v>
      </c>
      <c r="G574">
        <v>3572</v>
      </c>
      <c r="H574" s="1">
        <f t="shared" si="69"/>
        <v>38.80877519596865</v>
      </c>
      <c r="I574" s="1" t="str">
        <f t="shared" si="70"/>
        <v>Medium</v>
      </c>
      <c r="J574">
        <f t="shared" si="71"/>
        <v>-3.5436985745963629</v>
      </c>
      <c r="K574">
        <f t="shared" si="72"/>
        <v>40.184041209406494</v>
      </c>
      <c r="L574">
        <f t="shared" si="73"/>
        <v>-3.5436985745963536</v>
      </c>
    </row>
    <row r="575" spans="1:12" x14ac:dyDescent="0.25">
      <c r="A575" s="3">
        <v>42211</v>
      </c>
      <c r="B575" s="3" t="str">
        <f t="shared" si="66"/>
        <v>Jul</v>
      </c>
      <c r="C575" s="3" t="str">
        <f t="shared" si="67"/>
        <v>2015</v>
      </c>
      <c r="D575" s="3" t="str">
        <f t="shared" si="68"/>
        <v>Sunday</v>
      </c>
      <c r="E575">
        <v>81715.045329999994</v>
      </c>
      <c r="F575">
        <v>85089.223429999998</v>
      </c>
      <c r="G575">
        <v>2109</v>
      </c>
      <c r="H575" s="1">
        <f t="shared" si="69"/>
        <v>38.745872607871028</v>
      </c>
      <c r="I575" s="1" t="str">
        <f t="shared" si="70"/>
        <v>Medium</v>
      </c>
      <c r="J575">
        <f t="shared" si="71"/>
        <v>-4.1292005485325776</v>
      </c>
      <c r="K575">
        <f t="shared" si="72"/>
        <v>40.34576739212897</v>
      </c>
      <c r="L575">
        <f t="shared" si="73"/>
        <v>-4.1292005485325696</v>
      </c>
    </row>
    <row r="576" spans="1:12" x14ac:dyDescent="0.25">
      <c r="A576" s="3">
        <v>42212</v>
      </c>
      <c r="B576" s="3" t="str">
        <f t="shared" si="66"/>
        <v>Jul</v>
      </c>
      <c r="C576" s="3" t="str">
        <f t="shared" si="67"/>
        <v>2015</v>
      </c>
      <c r="D576" s="3" t="str">
        <f t="shared" si="68"/>
        <v>Monday</v>
      </c>
      <c r="E576">
        <v>86842.861359999995</v>
      </c>
      <c r="F576">
        <v>90242.794099999999</v>
      </c>
      <c r="G576">
        <v>2242</v>
      </c>
      <c r="H576" s="1">
        <f t="shared" si="69"/>
        <v>38.734550115967885</v>
      </c>
      <c r="I576" s="1" t="str">
        <f t="shared" si="70"/>
        <v>Medium</v>
      </c>
      <c r="J576">
        <f t="shared" si="71"/>
        <v>-3.9150399776739966</v>
      </c>
      <c r="K576">
        <f t="shared" si="72"/>
        <v>40.251023238180196</v>
      </c>
      <c r="L576">
        <f t="shared" si="73"/>
        <v>-3.915039977673993</v>
      </c>
    </row>
    <row r="577" spans="1:12" x14ac:dyDescent="0.25">
      <c r="A577" s="3">
        <v>42213</v>
      </c>
      <c r="B577" s="3" t="str">
        <f t="shared" si="66"/>
        <v>Jul</v>
      </c>
      <c r="C577" s="3" t="str">
        <f t="shared" si="67"/>
        <v>2015</v>
      </c>
      <c r="D577" s="3" t="str">
        <f t="shared" si="68"/>
        <v>Tuesday</v>
      </c>
      <c r="E577">
        <v>56976.785279999996</v>
      </c>
      <c r="F577">
        <v>59094.076860000001</v>
      </c>
      <c r="G577">
        <v>1474</v>
      </c>
      <c r="H577" s="1">
        <f t="shared" si="69"/>
        <v>38.65453546811397</v>
      </c>
      <c r="I577" s="1" t="str">
        <f t="shared" si="70"/>
        <v>Medium</v>
      </c>
      <c r="J577">
        <f t="shared" si="71"/>
        <v>-3.7160600928870178</v>
      </c>
      <c r="K577">
        <f t="shared" si="72"/>
        <v>40.090961234735417</v>
      </c>
      <c r="L577">
        <f t="shared" si="73"/>
        <v>-3.7160600928870329</v>
      </c>
    </row>
    <row r="578" spans="1:12" x14ac:dyDescent="0.25">
      <c r="A578" s="3">
        <v>42214</v>
      </c>
      <c r="B578" s="3" t="str">
        <f t="shared" si="66"/>
        <v>Jul</v>
      </c>
      <c r="C578" s="3" t="str">
        <f t="shared" si="67"/>
        <v>2015</v>
      </c>
      <c r="D578" s="3" t="str">
        <f t="shared" si="68"/>
        <v>Wednesday</v>
      </c>
      <c r="E578">
        <v>53433.668030000001</v>
      </c>
      <c r="F578">
        <v>55516.525560000002</v>
      </c>
      <c r="G578">
        <v>1381</v>
      </c>
      <c r="H578" s="1">
        <f t="shared" si="69"/>
        <v>38.692011607530773</v>
      </c>
      <c r="I578" s="1" t="str">
        <f t="shared" si="70"/>
        <v>Medium</v>
      </c>
      <c r="J578">
        <f t="shared" si="71"/>
        <v>-3.8980246103086049</v>
      </c>
      <c r="K578">
        <f t="shared" si="72"/>
        <v>40.200235742215789</v>
      </c>
      <c r="L578">
        <f t="shared" si="73"/>
        <v>-3.8980246103086147</v>
      </c>
    </row>
    <row r="579" spans="1:12" x14ac:dyDescent="0.25">
      <c r="A579" s="3">
        <v>42215</v>
      </c>
      <c r="B579" s="3" t="str">
        <f t="shared" ref="B579:B642" si="74">TEXT(A579,"mmm")</f>
        <v>Jul</v>
      </c>
      <c r="C579" s="3" t="str">
        <f t="shared" ref="C579:C642" si="75">TEXT(A579,"yyyy")</f>
        <v>2015</v>
      </c>
      <c r="D579" s="3" t="str">
        <f t="shared" ref="D579:D642" si="76">TEXT(A579,"dddd")</f>
        <v>Thursday</v>
      </c>
      <c r="E579">
        <v>55134.081819999999</v>
      </c>
      <c r="F579">
        <v>57064.750699999997</v>
      </c>
      <c r="G579">
        <v>1423</v>
      </c>
      <c r="H579" s="1">
        <f t="shared" ref="H579:H642" si="77">E579/G579</f>
        <v>38.744962628250178</v>
      </c>
      <c r="I579" s="1" t="str">
        <f t="shared" ref="I579:I642" si="78">IF(H579&lt;PERCENTILE(H579:H1631,0.33),"Low", IF(H579&gt;PERCENTILE(H579:H1631,0.67),"High","Medium"))</f>
        <v>Medium</v>
      </c>
      <c r="J579">
        <f t="shared" ref="J579:J642" si="79">(E579-F579)/E579 *100</f>
        <v>-3.5017702594616229</v>
      </c>
      <c r="K579">
        <f t="shared" ref="K579:K642" si="80">F579/G579</f>
        <v>40.101722206605757</v>
      </c>
      <c r="L579">
        <f t="shared" ref="L579:L642" si="81">(H579-K579)/H579 *100</f>
        <v>-3.5017702594616069</v>
      </c>
    </row>
    <row r="580" spans="1:12" x14ac:dyDescent="0.25">
      <c r="A580" s="3">
        <v>42216</v>
      </c>
      <c r="B580" s="3" t="str">
        <f t="shared" si="74"/>
        <v>Jul</v>
      </c>
      <c r="C580" s="3" t="str">
        <f t="shared" si="75"/>
        <v>2015</v>
      </c>
      <c r="D580" s="3" t="str">
        <f t="shared" si="76"/>
        <v>Friday</v>
      </c>
      <c r="E580">
        <v>145033.61079999999</v>
      </c>
      <c r="F580">
        <v>149876.87330000001</v>
      </c>
      <c r="G580">
        <v>3740</v>
      </c>
      <c r="H580" s="1">
        <f t="shared" si="77"/>
        <v>38.779040320855614</v>
      </c>
      <c r="I580" s="1" t="str">
        <f t="shared" si="78"/>
        <v>Medium</v>
      </c>
      <c r="J580">
        <f t="shared" si="79"/>
        <v>-3.3394069645544615</v>
      </c>
      <c r="K580">
        <f t="shared" si="80"/>
        <v>40.074030294117648</v>
      </c>
      <c r="L580">
        <f t="shared" si="81"/>
        <v>-3.339406964554458</v>
      </c>
    </row>
    <row r="581" spans="1:12" x14ac:dyDescent="0.25">
      <c r="A581" s="3">
        <v>42217</v>
      </c>
      <c r="B581" s="3" t="str">
        <f t="shared" si="74"/>
        <v>Aug</v>
      </c>
      <c r="C581" s="3" t="str">
        <f t="shared" si="75"/>
        <v>2015</v>
      </c>
      <c r="D581" s="3" t="str">
        <f t="shared" si="76"/>
        <v>Saturday</v>
      </c>
      <c r="E581">
        <v>173306.90650000001</v>
      </c>
      <c r="F581">
        <v>178699.97589999999</v>
      </c>
      <c r="G581">
        <v>4453</v>
      </c>
      <c r="H581" s="1">
        <f t="shared" si="77"/>
        <v>38.919134628340444</v>
      </c>
      <c r="I581" s="1" t="str">
        <f t="shared" si="78"/>
        <v>Medium</v>
      </c>
      <c r="J581">
        <f t="shared" si="79"/>
        <v>-3.1118606343596458</v>
      </c>
      <c r="K581">
        <f t="shared" si="80"/>
        <v>40.130243858073207</v>
      </c>
      <c r="L581">
        <f t="shared" si="81"/>
        <v>-3.1118606343596547</v>
      </c>
    </row>
    <row r="582" spans="1:12" x14ac:dyDescent="0.25">
      <c r="A582" s="3">
        <v>42218</v>
      </c>
      <c r="B582" s="3" t="str">
        <f t="shared" si="74"/>
        <v>Aug</v>
      </c>
      <c r="C582" s="3" t="str">
        <f t="shared" si="75"/>
        <v>2015</v>
      </c>
      <c r="D582" s="3" t="str">
        <f t="shared" si="76"/>
        <v>Sunday</v>
      </c>
      <c r="E582">
        <v>88154.338709999996</v>
      </c>
      <c r="F582">
        <v>90828.661699999997</v>
      </c>
      <c r="G582">
        <v>2258</v>
      </c>
      <c r="H582" s="1">
        <f t="shared" si="77"/>
        <v>39.040894025686448</v>
      </c>
      <c r="I582" s="1" t="str">
        <f t="shared" si="78"/>
        <v>Medium</v>
      </c>
      <c r="J582">
        <f t="shared" si="79"/>
        <v>-3.0336827762927028</v>
      </c>
      <c r="K582">
        <f t="shared" si="80"/>
        <v>40.22527090345438</v>
      </c>
      <c r="L582">
        <f t="shared" si="81"/>
        <v>-3.0336827762926899</v>
      </c>
    </row>
    <row r="583" spans="1:12" x14ac:dyDescent="0.25">
      <c r="A583" s="3">
        <v>42219</v>
      </c>
      <c r="B583" s="3" t="str">
        <f t="shared" si="74"/>
        <v>Aug</v>
      </c>
      <c r="C583" s="3" t="str">
        <f t="shared" si="75"/>
        <v>2015</v>
      </c>
      <c r="D583" s="3" t="str">
        <f t="shared" si="76"/>
        <v>Monday</v>
      </c>
      <c r="E583">
        <v>81142.027849999999</v>
      </c>
      <c r="F583">
        <v>83114.576809999999</v>
      </c>
      <c r="G583">
        <v>2074</v>
      </c>
      <c r="H583" s="1">
        <f t="shared" si="77"/>
        <v>39.123446407907423</v>
      </c>
      <c r="I583" s="1" t="str">
        <f t="shared" si="78"/>
        <v>Medium</v>
      </c>
      <c r="J583">
        <f t="shared" si="79"/>
        <v>-2.4309830703842832</v>
      </c>
      <c r="K583">
        <f t="shared" si="80"/>
        <v>40.074530766634524</v>
      </c>
      <c r="L583">
        <f t="shared" si="81"/>
        <v>-2.430983070384293</v>
      </c>
    </row>
    <row r="584" spans="1:12" x14ac:dyDescent="0.25">
      <c r="A584" s="3">
        <v>42220</v>
      </c>
      <c r="B584" s="3" t="str">
        <f t="shared" si="74"/>
        <v>Aug</v>
      </c>
      <c r="C584" s="3" t="str">
        <f t="shared" si="75"/>
        <v>2015</v>
      </c>
      <c r="D584" s="3" t="str">
        <f t="shared" si="76"/>
        <v>Tuesday</v>
      </c>
      <c r="E584">
        <v>77672.88278</v>
      </c>
      <c r="F584">
        <v>80417.746440000003</v>
      </c>
      <c r="G584">
        <v>2007</v>
      </c>
      <c r="H584" s="1">
        <f t="shared" si="77"/>
        <v>38.700987932237169</v>
      </c>
      <c r="I584" s="1" t="str">
        <f t="shared" si="78"/>
        <v>Medium</v>
      </c>
      <c r="J584">
        <f t="shared" si="79"/>
        <v>-3.5338763822820001</v>
      </c>
      <c r="K584">
        <f t="shared" si="80"/>
        <v>40.068633004484305</v>
      </c>
      <c r="L584">
        <f t="shared" si="81"/>
        <v>-3.5338763822819987</v>
      </c>
    </row>
    <row r="585" spans="1:12" x14ac:dyDescent="0.25">
      <c r="A585" s="3">
        <v>42221</v>
      </c>
      <c r="B585" s="3" t="str">
        <f t="shared" si="74"/>
        <v>Aug</v>
      </c>
      <c r="C585" s="3" t="str">
        <f t="shared" si="75"/>
        <v>2015</v>
      </c>
      <c r="D585" s="3" t="str">
        <f t="shared" si="76"/>
        <v>Wednesday</v>
      </c>
      <c r="E585">
        <v>75483.422550000003</v>
      </c>
      <c r="F585">
        <v>78024.284679999997</v>
      </c>
      <c r="G585">
        <v>1948</v>
      </c>
      <c r="H585" s="1">
        <f t="shared" si="77"/>
        <v>38.749190220739223</v>
      </c>
      <c r="I585" s="1" t="str">
        <f t="shared" si="78"/>
        <v>Medium</v>
      </c>
      <c r="J585">
        <f t="shared" si="79"/>
        <v>-3.3661193996826713</v>
      </c>
      <c r="K585">
        <f t="shared" si="80"/>
        <v>40.053534229979462</v>
      </c>
      <c r="L585">
        <f t="shared" si="81"/>
        <v>-3.3661193996826597</v>
      </c>
    </row>
    <row r="586" spans="1:12" x14ac:dyDescent="0.25">
      <c r="A586" s="3">
        <v>42222</v>
      </c>
      <c r="B586" s="3" t="str">
        <f t="shared" si="74"/>
        <v>Aug</v>
      </c>
      <c r="C586" s="3" t="str">
        <f t="shared" si="75"/>
        <v>2015</v>
      </c>
      <c r="D586" s="3" t="str">
        <f t="shared" si="76"/>
        <v>Thursday</v>
      </c>
      <c r="E586">
        <v>74354.570099999997</v>
      </c>
      <c r="F586">
        <v>76978.305240000002</v>
      </c>
      <c r="G586">
        <v>1922</v>
      </c>
      <c r="H586" s="1">
        <f t="shared" si="77"/>
        <v>38.686040634755464</v>
      </c>
      <c r="I586" s="1" t="str">
        <f t="shared" si="78"/>
        <v>Medium</v>
      </c>
      <c r="J586">
        <f t="shared" si="79"/>
        <v>-3.5286803978172752</v>
      </c>
      <c r="K586">
        <f t="shared" si="80"/>
        <v>40.051147367325704</v>
      </c>
      <c r="L586">
        <f t="shared" si="81"/>
        <v>-3.5286803978172703</v>
      </c>
    </row>
    <row r="587" spans="1:12" x14ac:dyDescent="0.25">
      <c r="A587" s="3">
        <v>42223</v>
      </c>
      <c r="B587" s="3" t="str">
        <f t="shared" si="74"/>
        <v>Aug</v>
      </c>
      <c r="C587" s="3" t="str">
        <f t="shared" si="75"/>
        <v>2015</v>
      </c>
      <c r="D587" s="3" t="str">
        <f t="shared" si="76"/>
        <v>Friday</v>
      </c>
      <c r="E587">
        <v>120326.8763</v>
      </c>
      <c r="F587">
        <v>123707.7616</v>
      </c>
      <c r="G587">
        <v>3088</v>
      </c>
      <c r="H587" s="1">
        <f t="shared" si="77"/>
        <v>38.965957351036273</v>
      </c>
      <c r="I587" s="1" t="str">
        <f t="shared" si="78"/>
        <v>Medium</v>
      </c>
      <c r="J587">
        <f t="shared" si="79"/>
        <v>-2.8097507422786761</v>
      </c>
      <c r="K587">
        <f t="shared" si="80"/>
        <v>40.060803626943006</v>
      </c>
      <c r="L587">
        <f t="shared" si="81"/>
        <v>-2.8097507422786725</v>
      </c>
    </row>
    <row r="588" spans="1:12" x14ac:dyDescent="0.25">
      <c r="A588" s="3">
        <v>42224</v>
      </c>
      <c r="B588" s="3" t="str">
        <f t="shared" si="74"/>
        <v>Aug</v>
      </c>
      <c r="C588" s="3" t="str">
        <f t="shared" si="75"/>
        <v>2015</v>
      </c>
      <c r="D588" s="3" t="str">
        <f t="shared" si="76"/>
        <v>Saturday</v>
      </c>
      <c r="E588">
        <v>131867.99350000001</v>
      </c>
      <c r="F588">
        <v>135721.42600000001</v>
      </c>
      <c r="G588">
        <v>3388</v>
      </c>
      <c r="H588" s="1">
        <f t="shared" si="77"/>
        <v>38.922076003541918</v>
      </c>
      <c r="I588" s="1" t="str">
        <f t="shared" si="78"/>
        <v>Medium</v>
      </c>
      <c r="J588">
        <f t="shared" si="79"/>
        <v>-2.9221893787289597</v>
      </c>
      <c r="K588">
        <f t="shared" si="80"/>
        <v>40.059452774498233</v>
      </c>
      <c r="L588">
        <f t="shared" si="81"/>
        <v>-2.9221893787289606</v>
      </c>
    </row>
    <row r="589" spans="1:12" x14ac:dyDescent="0.25">
      <c r="A589" s="3">
        <v>42225</v>
      </c>
      <c r="B589" s="3" t="str">
        <f t="shared" si="74"/>
        <v>Aug</v>
      </c>
      <c r="C589" s="3" t="str">
        <f t="shared" si="75"/>
        <v>2015</v>
      </c>
      <c r="D589" s="3" t="str">
        <f t="shared" si="76"/>
        <v>Sunday</v>
      </c>
      <c r="E589">
        <v>75504.002739999996</v>
      </c>
      <c r="F589">
        <v>77978.694470000002</v>
      </c>
      <c r="G589">
        <v>1944</v>
      </c>
      <c r="H589" s="1">
        <f t="shared" si="77"/>
        <v>38.839507582304527</v>
      </c>
      <c r="I589" s="1" t="str">
        <f t="shared" si="78"/>
        <v>Medium</v>
      </c>
      <c r="J589">
        <f t="shared" si="79"/>
        <v>-3.2775636260261214</v>
      </c>
      <c r="K589">
        <f t="shared" si="80"/>
        <v>40.112497155349793</v>
      </c>
      <c r="L589">
        <f t="shared" si="81"/>
        <v>-3.2775636260261081</v>
      </c>
    </row>
    <row r="590" spans="1:12" x14ac:dyDescent="0.25">
      <c r="A590" s="3">
        <v>42226</v>
      </c>
      <c r="B590" s="3" t="str">
        <f t="shared" si="74"/>
        <v>Aug</v>
      </c>
      <c r="C590" s="3" t="str">
        <f t="shared" si="75"/>
        <v>2015</v>
      </c>
      <c r="D590" s="3" t="str">
        <f t="shared" si="76"/>
        <v>Monday</v>
      </c>
      <c r="E590">
        <v>69968.077699999994</v>
      </c>
      <c r="F590">
        <v>72665.725529999996</v>
      </c>
      <c r="G590">
        <v>1812</v>
      </c>
      <c r="H590" s="1">
        <f t="shared" si="77"/>
        <v>38.613729415011036</v>
      </c>
      <c r="I590" s="1" t="str">
        <f t="shared" si="78"/>
        <v>Medium</v>
      </c>
      <c r="J590">
        <f t="shared" si="79"/>
        <v>-3.8555408676034011</v>
      </c>
      <c r="K590">
        <f t="shared" si="80"/>
        <v>40.102497533112583</v>
      </c>
      <c r="L590">
        <f t="shared" si="81"/>
        <v>-3.855540867603402</v>
      </c>
    </row>
    <row r="591" spans="1:12" x14ac:dyDescent="0.25">
      <c r="A591" s="3">
        <v>42227</v>
      </c>
      <c r="B591" s="3" t="str">
        <f t="shared" si="74"/>
        <v>Aug</v>
      </c>
      <c r="C591" s="3" t="str">
        <f t="shared" si="75"/>
        <v>2015</v>
      </c>
      <c r="D591" s="3" t="str">
        <f t="shared" si="76"/>
        <v>Tuesday</v>
      </c>
      <c r="E591">
        <v>60187.14905</v>
      </c>
      <c r="F591">
        <v>62538.493280000002</v>
      </c>
      <c r="G591">
        <v>1563</v>
      </c>
      <c r="H591" s="1">
        <f t="shared" si="77"/>
        <v>38.507453007037746</v>
      </c>
      <c r="I591" s="1" t="str">
        <f t="shared" si="78"/>
        <v>Medium</v>
      </c>
      <c r="J591">
        <f t="shared" si="79"/>
        <v>-3.9067213966998868</v>
      </c>
      <c r="K591">
        <f t="shared" si="80"/>
        <v>40.011831912987844</v>
      </c>
      <c r="L591">
        <f t="shared" si="81"/>
        <v>-3.9067213966998882</v>
      </c>
    </row>
    <row r="592" spans="1:12" x14ac:dyDescent="0.25">
      <c r="A592" s="3">
        <v>42228</v>
      </c>
      <c r="B592" s="3" t="str">
        <f t="shared" si="74"/>
        <v>Aug</v>
      </c>
      <c r="C592" s="3" t="str">
        <f t="shared" si="75"/>
        <v>2015</v>
      </c>
      <c r="D592" s="3" t="str">
        <f t="shared" si="76"/>
        <v>Wednesday</v>
      </c>
      <c r="E592">
        <v>44698.700750000004</v>
      </c>
      <c r="F592">
        <v>46849.567150000003</v>
      </c>
      <c r="G592">
        <v>1171</v>
      </c>
      <c r="H592" s="1">
        <f t="shared" si="77"/>
        <v>38.171392613151156</v>
      </c>
      <c r="I592" s="1" t="str">
        <f t="shared" si="78"/>
        <v>Medium</v>
      </c>
      <c r="J592">
        <f t="shared" si="79"/>
        <v>-4.8119215187703164</v>
      </c>
      <c r="K592">
        <f t="shared" si="80"/>
        <v>40.008170068317682</v>
      </c>
      <c r="L592">
        <f t="shared" si="81"/>
        <v>-4.8119215187703244</v>
      </c>
    </row>
    <row r="593" spans="1:12" x14ac:dyDescent="0.25">
      <c r="A593" s="3">
        <v>42229</v>
      </c>
      <c r="B593" s="3" t="str">
        <f t="shared" si="74"/>
        <v>Aug</v>
      </c>
      <c r="C593" s="3" t="str">
        <f t="shared" si="75"/>
        <v>2015</v>
      </c>
      <c r="D593" s="3" t="str">
        <f t="shared" si="76"/>
        <v>Thursday</v>
      </c>
      <c r="E593">
        <v>39463.409059999998</v>
      </c>
      <c r="F593">
        <v>41414.418369999999</v>
      </c>
      <c r="G593">
        <v>1035</v>
      </c>
      <c r="H593" s="1">
        <f t="shared" si="77"/>
        <v>38.128897642512072</v>
      </c>
      <c r="I593" s="1" t="str">
        <f t="shared" si="78"/>
        <v>Medium</v>
      </c>
      <c r="J593">
        <f t="shared" si="79"/>
        <v>-4.9438438200655579</v>
      </c>
      <c r="K593">
        <f t="shared" si="80"/>
        <v>40.013930792270529</v>
      </c>
      <c r="L593">
        <f t="shared" si="81"/>
        <v>-4.9438438200655606</v>
      </c>
    </row>
    <row r="594" spans="1:12" x14ac:dyDescent="0.25">
      <c r="A594" s="3">
        <v>42230</v>
      </c>
      <c r="B594" s="3" t="str">
        <f t="shared" si="74"/>
        <v>Aug</v>
      </c>
      <c r="C594" s="3" t="str">
        <f t="shared" si="75"/>
        <v>2015</v>
      </c>
      <c r="D594" s="3" t="str">
        <f t="shared" si="76"/>
        <v>Friday</v>
      </c>
      <c r="E594">
        <v>85794.096900000004</v>
      </c>
      <c r="F594">
        <v>89898.894230000005</v>
      </c>
      <c r="G594">
        <v>2247</v>
      </c>
      <c r="H594" s="1">
        <f t="shared" si="77"/>
        <v>38.181618558077439</v>
      </c>
      <c r="I594" s="1" t="str">
        <f t="shared" si="78"/>
        <v>Medium</v>
      </c>
      <c r="J594">
        <f t="shared" si="79"/>
        <v>-4.784475247503889</v>
      </c>
      <c r="K594">
        <f t="shared" si="80"/>
        <v>40.008408647085005</v>
      </c>
      <c r="L594">
        <f t="shared" si="81"/>
        <v>-4.7844752475038899</v>
      </c>
    </row>
    <row r="595" spans="1:12" x14ac:dyDescent="0.25">
      <c r="A595" s="3">
        <v>42231</v>
      </c>
      <c r="B595" s="3" t="str">
        <f t="shared" si="74"/>
        <v>Aug</v>
      </c>
      <c r="C595" s="3" t="str">
        <f t="shared" si="75"/>
        <v>2015</v>
      </c>
      <c r="D595" s="3" t="str">
        <f t="shared" si="76"/>
        <v>Saturday</v>
      </c>
      <c r="E595">
        <v>117288.0101</v>
      </c>
      <c r="F595">
        <v>122504.3572</v>
      </c>
      <c r="G595">
        <v>3068</v>
      </c>
      <c r="H595" s="1">
        <f t="shared" si="77"/>
        <v>38.22946874185137</v>
      </c>
      <c r="I595" s="1" t="str">
        <f t="shared" si="78"/>
        <v>Medium</v>
      </c>
      <c r="J595">
        <f t="shared" si="79"/>
        <v>-4.4474683265173747</v>
      </c>
      <c r="K595">
        <f t="shared" si="80"/>
        <v>39.92971225554107</v>
      </c>
      <c r="L595">
        <f t="shared" si="81"/>
        <v>-4.447468326517372</v>
      </c>
    </row>
    <row r="596" spans="1:12" x14ac:dyDescent="0.25">
      <c r="A596" s="3">
        <v>42232</v>
      </c>
      <c r="B596" s="3" t="str">
        <f t="shared" si="74"/>
        <v>Aug</v>
      </c>
      <c r="C596" s="3" t="str">
        <f t="shared" si="75"/>
        <v>2015</v>
      </c>
      <c r="D596" s="3" t="str">
        <f t="shared" si="76"/>
        <v>Sunday</v>
      </c>
      <c r="E596">
        <v>71056.061000000002</v>
      </c>
      <c r="F596">
        <v>74589.172869999995</v>
      </c>
      <c r="G596">
        <v>1866</v>
      </c>
      <c r="H596" s="1">
        <f t="shared" si="77"/>
        <v>38.079346730975352</v>
      </c>
      <c r="I596" s="1" t="str">
        <f t="shared" si="78"/>
        <v>Medium</v>
      </c>
      <c r="J596">
        <f t="shared" si="79"/>
        <v>-4.9722878249611853</v>
      </c>
      <c r="K596">
        <f t="shared" si="80"/>
        <v>39.97276145230439</v>
      </c>
      <c r="L596">
        <f t="shared" si="81"/>
        <v>-4.9722878249611719</v>
      </c>
    </row>
    <row r="597" spans="1:12" x14ac:dyDescent="0.25">
      <c r="A597" s="3">
        <v>42233</v>
      </c>
      <c r="B597" s="3" t="str">
        <f t="shared" si="74"/>
        <v>Aug</v>
      </c>
      <c r="C597" s="3" t="str">
        <f t="shared" si="75"/>
        <v>2015</v>
      </c>
      <c r="D597" s="3" t="str">
        <f t="shared" si="76"/>
        <v>Monday</v>
      </c>
      <c r="E597">
        <v>64394.07445</v>
      </c>
      <c r="F597">
        <v>67505.254140000005</v>
      </c>
      <c r="G597">
        <v>1690</v>
      </c>
      <c r="H597" s="1">
        <f t="shared" si="77"/>
        <v>38.103002633136093</v>
      </c>
      <c r="I597" s="1" t="str">
        <f t="shared" si="78"/>
        <v>Medium</v>
      </c>
      <c r="J597">
        <f t="shared" si="79"/>
        <v>-4.8314689147613086</v>
      </c>
      <c r="K597">
        <f t="shared" si="80"/>
        <v>39.943937360946748</v>
      </c>
      <c r="L597">
        <f t="shared" si="81"/>
        <v>-4.8314689147613139</v>
      </c>
    </row>
    <row r="598" spans="1:12" x14ac:dyDescent="0.25">
      <c r="A598" s="3">
        <v>42234</v>
      </c>
      <c r="B598" s="3" t="str">
        <f t="shared" si="74"/>
        <v>Aug</v>
      </c>
      <c r="C598" s="3" t="str">
        <f t="shared" si="75"/>
        <v>2015</v>
      </c>
      <c r="D598" s="3" t="str">
        <f t="shared" si="76"/>
        <v>Tuesday</v>
      </c>
      <c r="E598">
        <v>35165.97208</v>
      </c>
      <c r="F598">
        <v>36841.967320000003</v>
      </c>
      <c r="G598">
        <v>922</v>
      </c>
      <c r="H598" s="1">
        <f t="shared" si="77"/>
        <v>38.140967548806941</v>
      </c>
      <c r="I598" s="1" t="str">
        <f t="shared" si="78"/>
        <v>Medium</v>
      </c>
      <c r="J598">
        <f t="shared" si="79"/>
        <v>-4.7659573754629561</v>
      </c>
      <c r="K598">
        <f t="shared" si="80"/>
        <v>39.958749804772239</v>
      </c>
      <c r="L598">
        <f t="shared" si="81"/>
        <v>-4.7659573754629587</v>
      </c>
    </row>
    <row r="599" spans="1:12" x14ac:dyDescent="0.25">
      <c r="A599" s="3">
        <v>42235</v>
      </c>
      <c r="B599" s="3" t="str">
        <f t="shared" si="74"/>
        <v>Aug</v>
      </c>
      <c r="C599" s="3" t="str">
        <f t="shared" si="75"/>
        <v>2015</v>
      </c>
      <c r="D599" s="3" t="str">
        <f t="shared" si="76"/>
        <v>Wednesday</v>
      </c>
      <c r="E599">
        <v>23234.183199999999</v>
      </c>
      <c r="F599">
        <v>24104.08598</v>
      </c>
      <c r="G599">
        <v>604</v>
      </c>
      <c r="H599" s="1">
        <f t="shared" si="77"/>
        <v>38.467190728476822</v>
      </c>
      <c r="I599" s="1" t="str">
        <f t="shared" si="78"/>
        <v>Medium</v>
      </c>
      <c r="J599">
        <f t="shared" si="79"/>
        <v>-3.7440643921581902</v>
      </c>
      <c r="K599">
        <f t="shared" si="80"/>
        <v>39.907427119205295</v>
      </c>
      <c r="L599">
        <f t="shared" si="81"/>
        <v>-3.7440643921581773</v>
      </c>
    </row>
    <row r="600" spans="1:12" x14ac:dyDescent="0.25">
      <c r="A600" s="3">
        <v>42236</v>
      </c>
      <c r="B600" s="3" t="str">
        <f t="shared" si="74"/>
        <v>Aug</v>
      </c>
      <c r="C600" s="3" t="str">
        <f t="shared" si="75"/>
        <v>2015</v>
      </c>
      <c r="D600" s="3" t="str">
        <f t="shared" si="76"/>
        <v>Thursday</v>
      </c>
      <c r="E600">
        <v>24754.957180000001</v>
      </c>
      <c r="F600">
        <v>25407.174070000001</v>
      </c>
      <c r="G600">
        <v>643</v>
      </c>
      <c r="H600" s="1">
        <f t="shared" si="77"/>
        <v>38.499155800933131</v>
      </c>
      <c r="I600" s="1" t="str">
        <f t="shared" si="78"/>
        <v>Medium</v>
      </c>
      <c r="J600">
        <f t="shared" si="79"/>
        <v>-2.6346920548379624</v>
      </c>
      <c r="K600">
        <f t="shared" si="80"/>
        <v>39.513490000000004</v>
      </c>
      <c r="L600">
        <f t="shared" si="81"/>
        <v>-2.6346920548379607</v>
      </c>
    </row>
    <row r="601" spans="1:12" x14ac:dyDescent="0.25">
      <c r="A601" s="3">
        <v>42237</v>
      </c>
      <c r="B601" s="3" t="str">
        <f t="shared" si="74"/>
        <v>Aug</v>
      </c>
      <c r="C601" s="3" t="str">
        <f t="shared" si="75"/>
        <v>2015</v>
      </c>
      <c r="D601" s="3" t="str">
        <f t="shared" si="76"/>
        <v>Friday</v>
      </c>
      <c r="E601">
        <v>76691.283030000006</v>
      </c>
      <c r="F601">
        <v>78691.956319999998</v>
      </c>
      <c r="G601">
        <v>2006</v>
      </c>
      <c r="H601" s="1">
        <f t="shared" si="77"/>
        <v>38.230948668993022</v>
      </c>
      <c r="I601" s="1" t="str">
        <f t="shared" si="78"/>
        <v>Medium</v>
      </c>
      <c r="J601">
        <f t="shared" si="79"/>
        <v>-2.6087362356649719</v>
      </c>
      <c r="K601">
        <f t="shared" si="80"/>
        <v>39.228293280159519</v>
      </c>
      <c r="L601">
        <f t="shared" si="81"/>
        <v>-2.6087362356649737</v>
      </c>
    </row>
    <row r="602" spans="1:12" x14ac:dyDescent="0.25">
      <c r="A602" s="3">
        <v>42238</v>
      </c>
      <c r="B602" s="3" t="str">
        <f t="shared" si="74"/>
        <v>Aug</v>
      </c>
      <c r="C602" s="3" t="str">
        <f t="shared" si="75"/>
        <v>2015</v>
      </c>
      <c r="D602" s="3" t="str">
        <f t="shared" si="76"/>
        <v>Saturday</v>
      </c>
      <c r="E602">
        <v>102231.2118</v>
      </c>
      <c r="F602">
        <v>104713.00750000001</v>
      </c>
      <c r="G602">
        <v>2677</v>
      </c>
      <c r="H602" s="1">
        <f t="shared" si="77"/>
        <v>38.188723122898772</v>
      </c>
      <c r="I602" s="1" t="str">
        <f t="shared" si="78"/>
        <v>Medium</v>
      </c>
      <c r="J602">
        <f t="shared" si="79"/>
        <v>-2.4276301300773606</v>
      </c>
      <c r="K602">
        <f t="shared" si="80"/>
        <v>39.115804071722081</v>
      </c>
      <c r="L602">
        <f t="shared" si="81"/>
        <v>-2.4276301300773588</v>
      </c>
    </row>
    <row r="603" spans="1:12" x14ac:dyDescent="0.25">
      <c r="A603" s="3">
        <v>42239</v>
      </c>
      <c r="B603" s="3" t="str">
        <f t="shared" si="74"/>
        <v>Aug</v>
      </c>
      <c r="C603" s="3" t="str">
        <f t="shared" si="75"/>
        <v>2015</v>
      </c>
      <c r="D603" s="3" t="str">
        <f t="shared" si="76"/>
        <v>Sunday</v>
      </c>
      <c r="E603">
        <v>56974.868029999998</v>
      </c>
      <c r="F603">
        <v>57548.98515</v>
      </c>
      <c r="G603">
        <v>1467</v>
      </c>
      <c r="H603" s="1">
        <f t="shared" si="77"/>
        <v>38.837674185412403</v>
      </c>
      <c r="I603" s="1" t="str">
        <f t="shared" si="78"/>
        <v>Medium</v>
      </c>
      <c r="J603">
        <f t="shared" si="79"/>
        <v>-1.0076673099053119</v>
      </c>
      <c r="K603">
        <f t="shared" si="80"/>
        <v>39.229028732106343</v>
      </c>
      <c r="L603">
        <f t="shared" si="81"/>
        <v>-1.0076673099053242</v>
      </c>
    </row>
    <row r="604" spans="1:12" x14ac:dyDescent="0.25">
      <c r="A604" s="3">
        <v>42240</v>
      </c>
      <c r="B604" s="3" t="str">
        <f t="shared" si="74"/>
        <v>Aug</v>
      </c>
      <c r="C604" s="3" t="str">
        <f t="shared" si="75"/>
        <v>2015</v>
      </c>
      <c r="D604" s="3" t="str">
        <f t="shared" si="76"/>
        <v>Monday</v>
      </c>
      <c r="E604">
        <v>59442.731119999997</v>
      </c>
      <c r="F604">
        <v>59785.428610000003</v>
      </c>
      <c r="G604">
        <v>1528</v>
      </c>
      <c r="H604" s="1">
        <f t="shared" si="77"/>
        <v>38.902310942408377</v>
      </c>
      <c r="I604" s="1" t="str">
        <f t="shared" si="78"/>
        <v>Medium</v>
      </c>
      <c r="J604">
        <f t="shared" si="79"/>
        <v>-0.5765170670038452</v>
      </c>
      <c r="K604">
        <f t="shared" si="80"/>
        <v>39.126589404450264</v>
      </c>
      <c r="L604">
        <f t="shared" si="81"/>
        <v>-0.57651706700384175</v>
      </c>
    </row>
    <row r="605" spans="1:12" x14ac:dyDescent="0.25">
      <c r="A605" s="3">
        <v>42241</v>
      </c>
      <c r="B605" s="3" t="str">
        <f t="shared" si="74"/>
        <v>Aug</v>
      </c>
      <c r="C605" s="3" t="str">
        <f t="shared" si="75"/>
        <v>2015</v>
      </c>
      <c r="D605" s="3" t="str">
        <f t="shared" si="76"/>
        <v>Tuesday</v>
      </c>
      <c r="E605">
        <v>217683.36230000001</v>
      </c>
      <c r="F605">
        <v>246975.73079999999</v>
      </c>
      <c r="G605">
        <v>6360</v>
      </c>
      <c r="H605" s="1">
        <f t="shared" si="77"/>
        <v>34.226943757861633</v>
      </c>
      <c r="I605" s="1" t="str">
        <f t="shared" si="78"/>
        <v>Low</v>
      </c>
      <c r="J605">
        <f t="shared" si="79"/>
        <v>-13.456411271170438</v>
      </c>
      <c r="K605">
        <f t="shared" si="80"/>
        <v>38.832662075471696</v>
      </c>
      <c r="L605">
        <f t="shared" si="81"/>
        <v>-13.456411271170445</v>
      </c>
    </row>
    <row r="606" spans="1:12" x14ac:dyDescent="0.25">
      <c r="A606" s="3">
        <v>42242</v>
      </c>
      <c r="B606" s="3" t="str">
        <f t="shared" si="74"/>
        <v>Aug</v>
      </c>
      <c r="C606" s="3" t="str">
        <f t="shared" si="75"/>
        <v>2015</v>
      </c>
      <c r="D606" s="3" t="str">
        <f t="shared" si="76"/>
        <v>Wednesday</v>
      </c>
      <c r="E606">
        <v>275458.80690000003</v>
      </c>
      <c r="F606">
        <v>307092.27439999999</v>
      </c>
      <c r="G606">
        <v>8035</v>
      </c>
      <c r="H606" s="1">
        <f t="shared" si="77"/>
        <v>34.28236551337897</v>
      </c>
      <c r="I606" s="1" t="str">
        <f t="shared" si="78"/>
        <v>Low</v>
      </c>
      <c r="J606">
        <f t="shared" si="79"/>
        <v>-11.4839194491552</v>
      </c>
      <c r="K606">
        <f t="shared" si="80"/>
        <v>38.219324754200372</v>
      </c>
      <c r="L606">
        <f t="shared" si="81"/>
        <v>-11.483919449155199</v>
      </c>
    </row>
    <row r="607" spans="1:12" x14ac:dyDescent="0.25">
      <c r="A607" s="3">
        <v>42243</v>
      </c>
      <c r="B607" s="3" t="str">
        <f t="shared" si="74"/>
        <v>Aug</v>
      </c>
      <c r="C607" s="3" t="str">
        <f t="shared" si="75"/>
        <v>2015</v>
      </c>
      <c r="D607" s="3" t="str">
        <f t="shared" si="76"/>
        <v>Thursday</v>
      </c>
      <c r="E607">
        <v>228731.86550000001</v>
      </c>
      <c r="F607">
        <v>252845.44560000001</v>
      </c>
      <c r="G607">
        <v>6675</v>
      </c>
      <c r="H607" s="1">
        <f t="shared" si="77"/>
        <v>34.266946142322098</v>
      </c>
      <c r="I607" s="1" t="str">
        <f t="shared" si="78"/>
        <v>Low</v>
      </c>
      <c r="J607">
        <f t="shared" si="79"/>
        <v>-10.542291537424632</v>
      </c>
      <c r="K607">
        <f t="shared" si="80"/>
        <v>37.879467505617981</v>
      </c>
      <c r="L607">
        <f t="shared" si="81"/>
        <v>-10.542291537424644</v>
      </c>
    </row>
    <row r="608" spans="1:12" x14ac:dyDescent="0.25">
      <c r="A608" s="3">
        <v>42244</v>
      </c>
      <c r="B608" s="3" t="str">
        <f t="shared" si="74"/>
        <v>Aug</v>
      </c>
      <c r="C608" s="3" t="str">
        <f t="shared" si="75"/>
        <v>2015</v>
      </c>
      <c r="D608" s="3" t="str">
        <f t="shared" si="76"/>
        <v>Friday</v>
      </c>
      <c r="E608">
        <v>387639.12</v>
      </c>
      <c r="F608">
        <v>426783.30219999998</v>
      </c>
      <c r="G608">
        <v>11330</v>
      </c>
      <c r="H608" s="1">
        <f t="shared" si="77"/>
        <v>34.213514563106799</v>
      </c>
      <c r="I608" s="1" t="str">
        <f t="shared" si="78"/>
        <v>Low</v>
      </c>
      <c r="J608">
        <f t="shared" si="79"/>
        <v>-10.098099025712363</v>
      </c>
      <c r="K608">
        <f t="shared" si="80"/>
        <v>37.668429143865843</v>
      </c>
      <c r="L608">
        <f t="shared" si="81"/>
        <v>-10.098099025712362</v>
      </c>
    </row>
    <row r="609" spans="1:12" x14ac:dyDescent="0.25">
      <c r="A609" s="3">
        <v>42245</v>
      </c>
      <c r="B609" s="3" t="str">
        <f t="shared" si="74"/>
        <v>Aug</v>
      </c>
      <c r="C609" s="3" t="str">
        <f t="shared" si="75"/>
        <v>2015</v>
      </c>
      <c r="D609" s="3" t="str">
        <f t="shared" si="76"/>
        <v>Saturday</v>
      </c>
      <c r="E609">
        <v>461188.0049</v>
      </c>
      <c r="F609">
        <v>504578.1888</v>
      </c>
      <c r="G609">
        <v>13484</v>
      </c>
      <c r="H609" s="1">
        <f t="shared" si="77"/>
        <v>34.20261086472857</v>
      </c>
      <c r="I609" s="1" t="str">
        <f t="shared" si="78"/>
        <v>Low</v>
      </c>
      <c r="J609">
        <f t="shared" si="79"/>
        <v>-9.4083504859169853</v>
      </c>
      <c r="K609">
        <f t="shared" si="80"/>
        <v>37.420512370216557</v>
      </c>
      <c r="L609">
        <f t="shared" si="81"/>
        <v>-9.4083504859169889</v>
      </c>
    </row>
    <row r="610" spans="1:12" x14ac:dyDescent="0.25">
      <c r="A610" s="3">
        <v>42246</v>
      </c>
      <c r="B610" s="3" t="str">
        <f t="shared" si="74"/>
        <v>Aug</v>
      </c>
      <c r="C610" s="3" t="str">
        <f t="shared" si="75"/>
        <v>2015</v>
      </c>
      <c r="D610" s="3" t="str">
        <f t="shared" si="76"/>
        <v>Sunday</v>
      </c>
      <c r="E610">
        <v>202249.67720000001</v>
      </c>
      <c r="F610">
        <v>220152.1868</v>
      </c>
      <c r="G610">
        <v>5913</v>
      </c>
      <c r="H610" s="1">
        <f t="shared" si="77"/>
        <v>34.204241028242855</v>
      </c>
      <c r="I610" s="1" t="str">
        <f t="shared" si="78"/>
        <v>Low</v>
      </c>
      <c r="J610">
        <f t="shared" si="79"/>
        <v>-8.8516876011112817</v>
      </c>
      <c r="K610">
        <f t="shared" si="80"/>
        <v>37.231893590394044</v>
      </c>
      <c r="L610">
        <f t="shared" si="81"/>
        <v>-8.8516876011112764</v>
      </c>
    </row>
    <row r="611" spans="1:12" x14ac:dyDescent="0.25">
      <c r="A611" s="3">
        <v>42247</v>
      </c>
      <c r="B611" s="3" t="str">
        <f t="shared" si="74"/>
        <v>Aug</v>
      </c>
      <c r="C611" s="3" t="str">
        <f t="shared" si="75"/>
        <v>2015</v>
      </c>
      <c r="D611" s="3" t="str">
        <f t="shared" si="76"/>
        <v>Monday</v>
      </c>
      <c r="E611">
        <v>332559.76500000001</v>
      </c>
      <c r="F611">
        <v>361970.28590000002</v>
      </c>
      <c r="G611">
        <v>9721</v>
      </c>
      <c r="H611" s="1">
        <f t="shared" si="77"/>
        <v>34.210447999177042</v>
      </c>
      <c r="I611" s="1" t="str">
        <f t="shared" si="78"/>
        <v>Low</v>
      </c>
      <c r="J611">
        <f t="shared" si="79"/>
        <v>-8.8436798420277931</v>
      </c>
      <c r="K611">
        <f t="shared" si="80"/>
        <v>37.235910492747664</v>
      </c>
      <c r="L611">
        <f t="shared" si="81"/>
        <v>-8.8436798420277967</v>
      </c>
    </row>
    <row r="612" spans="1:12" x14ac:dyDescent="0.25">
      <c r="A612" s="3">
        <v>42248</v>
      </c>
      <c r="B612" s="3" t="str">
        <f t="shared" si="74"/>
        <v>Sep</v>
      </c>
      <c r="C612" s="3" t="str">
        <f t="shared" si="75"/>
        <v>2015</v>
      </c>
      <c r="D612" s="3" t="str">
        <f t="shared" si="76"/>
        <v>Tuesday</v>
      </c>
      <c r="E612">
        <v>384806.77159999998</v>
      </c>
      <c r="F612">
        <v>418101.59749999997</v>
      </c>
      <c r="G612">
        <v>11257</v>
      </c>
      <c r="H612" s="1">
        <f t="shared" si="77"/>
        <v>34.183776459092115</v>
      </c>
      <c r="I612" s="1" t="str">
        <f t="shared" si="78"/>
        <v>Low</v>
      </c>
      <c r="J612">
        <f t="shared" si="79"/>
        <v>-8.6523492717039279</v>
      </c>
      <c r="K612">
        <f t="shared" si="80"/>
        <v>37.141476192591277</v>
      </c>
      <c r="L612">
        <f t="shared" si="81"/>
        <v>-8.6523492717039456</v>
      </c>
    </row>
    <row r="613" spans="1:12" x14ac:dyDescent="0.25">
      <c r="A613" s="3">
        <v>42249</v>
      </c>
      <c r="B613" s="3" t="str">
        <f t="shared" si="74"/>
        <v>Sep</v>
      </c>
      <c r="C613" s="3" t="str">
        <f t="shared" si="75"/>
        <v>2015</v>
      </c>
      <c r="D613" s="3" t="str">
        <f t="shared" si="76"/>
        <v>Wednesday</v>
      </c>
      <c r="E613">
        <v>345776.25030000001</v>
      </c>
      <c r="F613">
        <v>373816.16840000002</v>
      </c>
      <c r="G613">
        <v>10102</v>
      </c>
      <c r="H613" s="1">
        <f t="shared" si="77"/>
        <v>34.228494387250052</v>
      </c>
      <c r="I613" s="1" t="str">
        <f t="shared" si="78"/>
        <v>Low</v>
      </c>
      <c r="J613">
        <f t="shared" si="79"/>
        <v>-8.1092666357716023</v>
      </c>
      <c r="K613">
        <f t="shared" si="80"/>
        <v>37.004174262522277</v>
      </c>
      <c r="L613">
        <f t="shared" si="81"/>
        <v>-8.1092666357716041</v>
      </c>
    </row>
    <row r="614" spans="1:12" x14ac:dyDescent="0.25">
      <c r="A614" s="3">
        <v>42250</v>
      </c>
      <c r="B614" s="3" t="str">
        <f t="shared" si="74"/>
        <v>Sep</v>
      </c>
      <c r="C614" s="3" t="str">
        <f t="shared" si="75"/>
        <v>2015</v>
      </c>
      <c r="D614" s="3" t="str">
        <f t="shared" si="76"/>
        <v>Thursday</v>
      </c>
      <c r="E614">
        <v>271551.09509999998</v>
      </c>
      <c r="F614">
        <v>293343.87400000001</v>
      </c>
      <c r="G614">
        <v>7938</v>
      </c>
      <c r="H614" s="1">
        <f t="shared" si="77"/>
        <v>34.209006689342402</v>
      </c>
      <c r="I614" s="1" t="str">
        <f t="shared" si="78"/>
        <v>Low</v>
      </c>
      <c r="J614">
        <f t="shared" si="79"/>
        <v>-8.0252958994603709</v>
      </c>
      <c r="K614">
        <f t="shared" si="80"/>
        <v>36.954380700428324</v>
      </c>
      <c r="L614">
        <f t="shared" si="81"/>
        <v>-8.0252958994603762</v>
      </c>
    </row>
    <row r="615" spans="1:12" x14ac:dyDescent="0.25">
      <c r="A615" s="3">
        <v>42251</v>
      </c>
      <c r="B615" s="3" t="str">
        <f t="shared" si="74"/>
        <v>Sep</v>
      </c>
      <c r="C615" s="3" t="str">
        <f t="shared" si="75"/>
        <v>2015</v>
      </c>
      <c r="D615" s="3" t="str">
        <f t="shared" si="76"/>
        <v>Friday</v>
      </c>
      <c r="E615">
        <v>340440.20549999998</v>
      </c>
      <c r="F615">
        <v>366359.65860000002</v>
      </c>
      <c r="G615">
        <v>9936</v>
      </c>
      <c r="H615" s="1">
        <f t="shared" si="77"/>
        <v>34.263305706521734</v>
      </c>
      <c r="I615" s="1" t="str">
        <f t="shared" si="78"/>
        <v>Low</v>
      </c>
      <c r="J615">
        <f t="shared" si="79"/>
        <v>-7.6135111779563429</v>
      </c>
      <c r="K615">
        <f t="shared" si="80"/>
        <v>36.871946316425124</v>
      </c>
      <c r="L615">
        <f t="shared" si="81"/>
        <v>-7.6135111779563527</v>
      </c>
    </row>
    <row r="616" spans="1:12" x14ac:dyDescent="0.25">
      <c r="A616" s="3">
        <v>42252</v>
      </c>
      <c r="B616" s="3" t="str">
        <f t="shared" si="74"/>
        <v>Sep</v>
      </c>
      <c r="C616" s="3" t="str">
        <f t="shared" si="75"/>
        <v>2015</v>
      </c>
      <c r="D616" s="3" t="str">
        <f t="shared" si="76"/>
        <v>Saturday</v>
      </c>
      <c r="E616">
        <v>364416.7316</v>
      </c>
      <c r="F616">
        <v>392128.30129999999</v>
      </c>
      <c r="G616">
        <v>10643</v>
      </c>
      <c r="H616" s="1">
        <f t="shared" si="77"/>
        <v>34.240038673306401</v>
      </c>
      <c r="I616" s="1" t="str">
        <f t="shared" si="78"/>
        <v>Low</v>
      </c>
      <c r="J616">
        <f t="shared" si="79"/>
        <v>-7.604362614836643</v>
      </c>
      <c r="K616">
        <f t="shared" si="80"/>
        <v>36.843775373484917</v>
      </c>
      <c r="L616">
        <f t="shared" si="81"/>
        <v>-7.6043626148366297</v>
      </c>
    </row>
    <row r="617" spans="1:12" x14ac:dyDescent="0.25">
      <c r="A617" s="3">
        <v>42253</v>
      </c>
      <c r="B617" s="3" t="str">
        <f t="shared" si="74"/>
        <v>Sep</v>
      </c>
      <c r="C617" s="3" t="str">
        <f t="shared" si="75"/>
        <v>2015</v>
      </c>
      <c r="D617" s="3" t="str">
        <f t="shared" si="76"/>
        <v>Sunday</v>
      </c>
      <c r="E617">
        <v>164719.60449999999</v>
      </c>
      <c r="F617">
        <v>176647.84270000001</v>
      </c>
      <c r="G617">
        <v>4800</v>
      </c>
      <c r="H617" s="1">
        <f t="shared" si="77"/>
        <v>34.316584270833332</v>
      </c>
      <c r="I617" s="1" t="str">
        <f t="shared" si="78"/>
        <v>Low</v>
      </c>
      <c r="J617">
        <f t="shared" si="79"/>
        <v>-7.2415413066390784</v>
      </c>
      <c r="K617">
        <f t="shared" si="80"/>
        <v>36.801633895833334</v>
      </c>
      <c r="L617">
        <f t="shared" si="81"/>
        <v>-7.2415413066390713</v>
      </c>
    </row>
    <row r="618" spans="1:12" x14ac:dyDescent="0.25">
      <c r="A618" s="3">
        <v>42254</v>
      </c>
      <c r="B618" s="3" t="str">
        <f t="shared" si="74"/>
        <v>Sep</v>
      </c>
      <c r="C618" s="3" t="str">
        <f t="shared" si="75"/>
        <v>2015</v>
      </c>
      <c r="D618" s="3" t="str">
        <f t="shared" si="76"/>
        <v>Monday</v>
      </c>
      <c r="E618">
        <v>178921.0993</v>
      </c>
      <c r="F618">
        <v>192507.5287</v>
      </c>
      <c r="G618">
        <v>5228</v>
      </c>
      <c r="H618" s="1">
        <f t="shared" si="77"/>
        <v>34.223622666411629</v>
      </c>
      <c r="I618" s="1" t="str">
        <f t="shared" si="78"/>
        <v>Low</v>
      </c>
      <c r="J618">
        <f t="shared" si="79"/>
        <v>-7.5935311448200977</v>
      </c>
      <c r="K618">
        <f t="shared" si="80"/>
        <v>36.822404112471304</v>
      </c>
      <c r="L618">
        <f t="shared" si="81"/>
        <v>-7.5935311448200915</v>
      </c>
    </row>
    <row r="619" spans="1:12" x14ac:dyDescent="0.25">
      <c r="A619" s="3">
        <v>42255</v>
      </c>
      <c r="B619" s="3" t="str">
        <f t="shared" si="74"/>
        <v>Sep</v>
      </c>
      <c r="C619" s="3" t="str">
        <f t="shared" si="75"/>
        <v>2015</v>
      </c>
      <c r="D619" s="3" t="str">
        <f t="shared" si="76"/>
        <v>Tuesday</v>
      </c>
      <c r="E619">
        <v>70286.997810000001</v>
      </c>
      <c r="F619">
        <v>66639.698050000006</v>
      </c>
      <c r="G619">
        <v>1810</v>
      </c>
      <c r="H619" s="1">
        <f t="shared" si="77"/>
        <v>38.83259547513812</v>
      </c>
      <c r="I619" s="1" t="str">
        <f t="shared" si="78"/>
        <v>Medium</v>
      </c>
      <c r="J619">
        <f t="shared" si="79"/>
        <v>5.1891528641746589</v>
      </c>
      <c r="K619">
        <f t="shared" si="80"/>
        <v>36.817512734806634</v>
      </c>
      <c r="L619">
        <f t="shared" si="81"/>
        <v>5.1891528641746527</v>
      </c>
    </row>
    <row r="620" spans="1:12" x14ac:dyDescent="0.25">
      <c r="A620" s="3">
        <v>42256</v>
      </c>
      <c r="B620" s="3" t="str">
        <f t="shared" si="74"/>
        <v>Sep</v>
      </c>
      <c r="C620" s="3" t="str">
        <f t="shared" si="75"/>
        <v>2015</v>
      </c>
      <c r="D620" s="3" t="str">
        <f t="shared" si="76"/>
        <v>Wednesday</v>
      </c>
      <c r="E620">
        <v>76013.677899999995</v>
      </c>
      <c r="F620">
        <v>72211.103170000002</v>
      </c>
      <c r="G620">
        <v>1961</v>
      </c>
      <c r="H620" s="1">
        <f t="shared" si="77"/>
        <v>38.76271183069862</v>
      </c>
      <c r="I620" s="1" t="str">
        <f t="shared" si="78"/>
        <v>Medium</v>
      </c>
      <c r="J620">
        <f t="shared" si="79"/>
        <v>5.002487493109439</v>
      </c>
      <c r="K620">
        <f t="shared" si="80"/>
        <v>36.823612019377869</v>
      </c>
      <c r="L620">
        <f t="shared" si="81"/>
        <v>5.0024874931094399</v>
      </c>
    </row>
    <row r="621" spans="1:12" x14ac:dyDescent="0.25">
      <c r="A621" s="3">
        <v>42257</v>
      </c>
      <c r="B621" s="3" t="str">
        <f t="shared" si="74"/>
        <v>Sep</v>
      </c>
      <c r="C621" s="3" t="str">
        <f t="shared" si="75"/>
        <v>2015</v>
      </c>
      <c r="D621" s="3" t="str">
        <f t="shared" si="76"/>
        <v>Thursday</v>
      </c>
      <c r="E621">
        <v>48406.787149999996</v>
      </c>
      <c r="F621">
        <v>45316.542730000001</v>
      </c>
      <c r="G621">
        <v>1232</v>
      </c>
      <c r="H621" s="1">
        <f t="shared" si="77"/>
        <v>39.291223336038961</v>
      </c>
      <c r="I621" s="1" t="str">
        <f t="shared" si="78"/>
        <v>Medium</v>
      </c>
      <c r="J621">
        <f t="shared" si="79"/>
        <v>6.3839073029658726</v>
      </c>
      <c r="K621">
        <f t="shared" si="80"/>
        <v>36.782908060064933</v>
      </c>
      <c r="L621">
        <f t="shared" si="81"/>
        <v>6.3839073029658859</v>
      </c>
    </row>
    <row r="622" spans="1:12" x14ac:dyDescent="0.25">
      <c r="A622" s="3">
        <v>42258</v>
      </c>
      <c r="B622" s="3" t="str">
        <f t="shared" si="74"/>
        <v>Sep</v>
      </c>
      <c r="C622" s="3" t="str">
        <f t="shared" si="75"/>
        <v>2015</v>
      </c>
      <c r="D622" s="3" t="str">
        <f t="shared" si="76"/>
        <v>Friday</v>
      </c>
      <c r="E622">
        <v>85940.026939999996</v>
      </c>
      <c r="F622">
        <v>81559.845619999993</v>
      </c>
      <c r="G622">
        <v>2194</v>
      </c>
      <c r="H622" s="1">
        <f t="shared" si="77"/>
        <v>39.170477183226978</v>
      </c>
      <c r="I622" s="1" t="str">
        <f t="shared" si="78"/>
        <v>Medium</v>
      </c>
      <c r="J622">
        <f t="shared" si="79"/>
        <v>5.0967883953051079</v>
      </c>
      <c r="K622">
        <f t="shared" si="80"/>
        <v>37.174040847766634</v>
      </c>
      <c r="L622">
        <f t="shared" si="81"/>
        <v>5.0967883953051007</v>
      </c>
    </row>
    <row r="623" spans="1:12" x14ac:dyDescent="0.25">
      <c r="A623" s="3">
        <v>42259</v>
      </c>
      <c r="B623" s="3" t="str">
        <f t="shared" si="74"/>
        <v>Sep</v>
      </c>
      <c r="C623" s="3" t="str">
        <f t="shared" si="75"/>
        <v>2015</v>
      </c>
      <c r="D623" s="3" t="str">
        <f t="shared" si="76"/>
        <v>Saturday</v>
      </c>
      <c r="E623">
        <v>57381.751450000003</v>
      </c>
      <c r="F623">
        <v>54340.891510000001</v>
      </c>
      <c r="G623">
        <v>1469</v>
      </c>
      <c r="H623" s="1">
        <f t="shared" si="77"/>
        <v>39.061777705922395</v>
      </c>
      <c r="I623" s="1" t="str">
        <f t="shared" si="78"/>
        <v>Medium</v>
      </c>
      <c r="J623">
        <f t="shared" si="79"/>
        <v>5.2993501647464996</v>
      </c>
      <c r="K623">
        <f t="shared" si="80"/>
        <v>36.99175732471069</v>
      </c>
      <c r="L623">
        <f t="shared" si="81"/>
        <v>5.299350164746488</v>
      </c>
    </row>
    <row r="624" spans="1:12" x14ac:dyDescent="0.25">
      <c r="A624" s="3">
        <v>42260</v>
      </c>
      <c r="B624" s="3" t="str">
        <f t="shared" si="74"/>
        <v>Sep</v>
      </c>
      <c r="C624" s="3" t="str">
        <f t="shared" si="75"/>
        <v>2015</v>
      </c>
      <c r="D624" s="3" t="str">
        <f t="shared" si="76"/>
        <v>Sunday</v>
      </c>
      <c r="E624">
        <v>32479.79639</v>
      </c>
      <c r="F624">
        <v>30763.688119999999</v>
      </c>
      <c r="G624">
        <v>829</v>
      </c>
      <c r="H624" s="1">
        <f t="shared" si="77"/>
        <v>39.17948901085645</v>
      </c>
      <c r="I624" s="1" t="str">
        <f t="shared" si="78"/>
        <v>Medium</v>
      </c>
      <c r="J624">
        <f t="shared" si="79"/>
        <v>5.2836176969642654</v>
      </c>
      <c r="K624">
        <f t="shared" si="80"/>
        <v>37.109394595898671</v>
      </c>
      <c r="L624">
        <f t="shared" si="81"/>
        <v>5.2836176969642619</v>
      </c>
    </row>
    <row r="625" spans="1:12" x14ac:dyDescent="0.25">
      <c r="A625" s="3">
        <v>42261</v>
      </c>
      <c r="B625" s="3" t="str">
        <f t="shared" si="74"/>
        <v>Sep</v>
      </c>
      <c r="C625" s="3" t="str">
        <f t="shared" si="75"/>
        <v>2015</v>
      </c>
      <c r="D625" s="3" t="str">
        <f t="shared" si="76"/>
        <v>Monday</v>
      </c>
      <c r="E625">
        <v>52160.183929999999</v>
      </c>
      <c r="F625">
        <v>49656.007749999997</v>
      </c>
      <c r="G625">
        <v>1329</v>
      </c>
      <c r="H625" s="1">
        <f t="shared" si="77"/>
        <v>39.247692949586153</v>
      </c>
      <c r="I625" s="1" t="str">
        <f t="shared" si="78"/>
        <v>Medium</v>
      </c>
      <c r="J625">
        <f t="shared" si="79"/>
        <v>4.8009343359690915</v>
      </c>
      <c r="K625">
        <f t="shared" si="80"/>
        <v>37.363436982693756</v>
      </c>
      <c r="L625">
        <f t="shared" si="81"/>
        <v>4.800934335969079</v>
      </c>
    </row>
    <row r="626" spans="1:12" x14ac:dyDescent="0.25">
      <c r="A626" s="3">
        <v>42262</v>
      </c>
      <c r="B626" s="3" t="str">
        <f t="shared" si="74"/>
        <v>Sep</v>
      </c>
      <c r="C626" s="3" t="str">
        <f t="shared" si="75"/>
        <v>2015</v>
      </c>
      <c r="D626" s="3" t="str">
        <f t="shared" si="76"/>
        <v>Tuesday</v>
      </c>
      <c r="E626">
        <v>51002.839569999996</v>
      </c>
      <c r="F626">
        <v>48601.967499999999</v>
      </c>
      <c r="G626">
        <v>1300</v>
      </c>
      <c r="H626" s="1">
        <f t="shared" si="77"/>
        <v>39.232953515384615</v>
      </c>
      <c r="I626" s="1" t="str">
        <f t="shared" si="78"/>
        <v>Medium</v>
      </c>
      <c r="J626">
        <f t="shared" si="79"/>
        <v>4.7073302001251651</v>
      </c>
      <c r="K626">
        <f t="shared" si="80"/>
        <v>37.386128846153845</v>
      </c>
      <c r="L626">
        <f t="shared" si="81"/>
        <v>4.7073302001251722</v>
      </c>
    </row>
    <row r="627" spans="1:12" x14ac:dyDescent="0.25">
      <c r="A627" s="3">
        <v>42263</v>
      </c>
      <c r="B627" s="3" t="str">
        <f t="shared" si="74"/>
        <v>Sep</v>
      </c>
      <c r="C627" s="3" t="str">
        <f t="shared" si="75"/>
        <v>2015</v>
      </c>
      <c r="D627" s="3" t="str">
        <f t="shared" si="76"/>
        <v>Wednesday</v>
      </c>
      <c r="E627">
        <v>30194.715960000001</v>
      </c>
      <c r="F627">
        <v>28605.460800000001</v>
      </c>
      <c r="G627">
        <v>773</v>
      </c>
      <c r="H627" s="1">
        <f t="shared" si="77"/>
        <v>39.061728279430788</v>
      </c>
      <c r="I627" s="1" t="str">
        <f t="shared" si="78"/>
        <v>Medium</v>
      </c>
      <c r="J627">
        <f t="shared" si="79"/>
        <v>5.2633552244880946</v>
      </c>
      <c r="K627">
        <f t="shared" si="80"/>
        <v>37.005770763260024</v>
      </c>
      <c r="L627">
        <f t="shared" si="81"/>
        <v>5.2633552244880955</v>
      </c>
    </row>
    <row r="628" spans="1:12" x14ac:dyDescent="0.25">
      <c r="A628" s="3">
        <v>42264</v>
      </c>
      <c r="B628" s="3" t="str">
        <f t="shared" si="74"/>
        <v>Sep</v>
      </c>
      <c r="C628" s="3" t="str">
        <f t="shared" si="75"/>
        <v>2015</v>
      </c>
      <c r="D628" s="3" t="str">
        <f t="shared" si="76"/>
        <v>Thursday</v>
      </c>
      <c r="E628">
        <v>29751.222610000001</v>
      </c>
      <c r="F628">
        <v>28084.235130000001</v>
      </c>
      <c r="G628">
        <v>760</v>
      </c>
      <c r="H628" s="1">
        <f t="shared" si="77"/>
        <v>39.146345539473685</v>
      </c>
      <c r="I628" s="1" t="str">
        <f t="shared" si="78"/>
        <v>Medium</v>
      </c>
      <c r="J628">
        <f t="shared" si="79"/>
        <v>5.6030889952054972</v>
      </c>
      <c r="K628">
        <f t="shared" si="80"/>
        <v>36.95294096052632</v>
      </c>
      <c r="L628">
        <f t="shared" si="81"/>
        <v>5.6030889952054919</v>
      </c>
    </row>
    <row r="629" spans="1:12" x14ac:dyDescent="0.25">
      <c r="A629" s="3">
        <v>42265</v>
      </c>
      <c r="B629" s="3" t="str">
        <f t="shared" si="74"/>
        <v>Sep</v>
      </c>
      <c r="C629" s="3" t="str">
        <f t="shared" si="75"/>
        <v>2015</v>
      </c>
      <c r="D629" s="3" t="str">
        <f t="shared" si="76"/>
        <v>Friday</v>
      </c>
      <c r="E629">
        <v>68504.639439999999</v>
      </c>
      <c r="F629">
        <v>64881.97565</v>
      </c>
      <c r="G629">
        <v>1755</v>
      </c>
      <c r="H629" s="1">
        <f t="shared" si="77"/>
        <v>39.033982586894588</v>
      </c>
      <c r="I629" s="1" t="str">
        <f t="shared" si="78"/>
        <v>Medium</v>
      </c>
      <c r="J629">
        <f t="shared" si="79"/>
        <v>5.2882021124611853</v>
      </c>
      <c r="K629">
        <f t="shared" si="80"/>
        <v>36.969786695156692</v>
      </c>
      <c r="L629">
        <f t="shared" si="81"/>
        <v>5.2882021124611978</v>
      </c>
    </row>
    <row r="630" spans="1:12" x14ac:dyDescent="0.25">
      <c r="A630" s="3">
        <v>42266</v>
      </c>
      <c r="B630" s="3" t="str">
        <f t="shared" si="74"/>
        <v>Sep</v>
      </c>
      <c r="C630" s="3" t="str">
        <f t="shared" si="75"/>
        <v>2015</v>
      </c>
      <c r="D630" s="3" t="str">
        <f t="shared" si="76"/>
        <v>Saturday</v>
      </c>
      <c r="E630">
        <v>68996.561759999997</v>
      </c>
      <c r="F630">
        <v>65211.571770000002</v>
      </c>
      <c r="G630">
        <v>1766</v>
      </c>
      <c r="H630" s="1">
        <f t="shared" si="77"/>
        <v>39.069400770101922</v>
      </c>
      <c r="I630" s="1" t="str">
        <f t="shared" si="78"/>
        <v>Medium</v>
      </c>
      <c r="J630">
        <f t="shared" si="79"/>
        <v>5.4857660924696994</v>
      </c>
      <c r="K630">
        <f t="shared" si="80"/>
        <v>36.926144830124578</v>
      </c>
      <c r="L630">
        <f t="shared" si="81"/>
        <v>5.4857660924696923</v>
      </c>
    </row>
    <row r="631" spans="1:12" x14ac:dyDescent="0.25">
      <c r="A631" s="3">
        <v>42267</v>
      </c>
      <c r="B631" s="3" t="str">
        <f t="shared" si="74"/>
        <v>Sep</v>
      </c>
      <c r="C631" s="3" t="str">
        <f t="shared" si="75"/>
        <v>2015</v>
      </c>
      <c r="D631" s="3" t="str">
        <f t="shared" si="76"/>
        <v>Sunday</v>
      </c>
      <c r="E631">
        <v>41855.928760000003</v>
      </c>
      <c r="F631">
        <v>39629.451869999997</v>
      </c>
      <c r="G631">
        <v>1078</v>
      </c>
      <c r="H631" s="1">
        <f t="shared" si="77"/>
        <v>38.827392170686458</v>
      </c>
      <c r="I631" s="1" t="str">
        <f t="shared" si="78"/>
        <v>Medium</v>
      </c>
      <c r="J631">
        <f t="shared" si="79"/>
        <v>5.3193823574350079</v>
      </c>
      <c r="K631">
        <f t="shared" si="80"/>
        <v>36.762014721706862</v>
      </c>
      <c r="L631">
        <f t="shared" si="81"/>
        <v>5.3193823574350061</v>
      </c>
    </row>
    <row r="632" spans="1:12" x14ac:dyDescent="0.25">
      <c r="A632" s="3">
        <v>42268</v>
      </c>
      <c r="B632" s="3" t="str">
        <f t="shared" si="74"/>
        <v>Sep</v>
      </c>
      <c r="C632" s="3" t="str">
        <f t="shared" si="75"/>
        <v>2015</v>
      </c>
      <c r="D632" s="3" t="str">
        <f t="shared" si="76"/>
        <v>Monday</v>
      </c>
      <c r="E632">
        <v>44303.466489999999</v>
      </c>
      <c r="F632">
        <v>41485.458720000002</v>
      </c>
      <c r="G632">
        <v>1124</v>
      </c>
      <c r="H632" s="1">
        <f t="shared" si="77"/>
        <v>39.415895453736653</v>
      </c>
      <c r="I632" s="1" t="str">
        <f t="shared" si="78"/>
        <v>Medium</v>
      </c>
      <c r="J632">
        <f t="shared" si="79"/>
        <v>6.360693627971675</v>
      </c>
      <c r="K632">
        <f t="shared" si="80"/>
        <v>36.908771103202852</v>
      </c>
      <c r="L632">
        <f t="shared" si="81"/>
        <v>6.3606936279716644</v>
      </c>
    </row>
    <row r="633" spans="1:12" x14ac:dyDescent="0.25">
      <c r="A633" s="3">
        <v>42269</v>
      </c>
      <c r="B633" s="3" t="str">
        <f t="shared" si="74"/>
        <v>Sep</v>
      </c>
      <c r="C633" s="3" t="str">
        <f t="shared" si="75"/>
        <v>2015</v>
      </c>
      <c r="D633" s="3" t="str">
        <f t="shared" si="76"/>
        <v>Tuesday</v>
      </c>
      <c r="E633">
        <v>46599.298130000003</v>
      </c>
      <c r="F633">
        <v>43806.73201</v>
      </c>
      <c r="G633">
        <v>1182</v>
      </c>
      <c r="H633" s="1">
        <f t="shared" si="77"/>
        <v>39.424110093062609</v>
      </c>
      <c r="I633" s="1" t="str">
        <f t="shared" si="78"/>
        <v>Medium</v>
      </c>
      <c r="J633">
        <f t="shared" si="79"/>
        <v>5.9927214186991939</v>
      </c>
      <c r="K633">
        <f t="shared" si="80"/>
        <v>37.061533003384092</v>
      </c>
      <c r="L633">
        <f t="shared" si="81"/>
        <v>5.9927214186992028</v>
      </c>
    </row>
    <row r="634" spans="1:12" x14ac:dyDescent="0.25">
      <c r="A634" s="3">
        <v>42270</v>
      </c>
      <c r="B634" s="3" t="str">
        <f t="shared" si="74"/>
        <v>Sep</v>
      </c>
      <c r="C634" s="3" t="str">
        <f t="shared" si="75"/>
        <v>2015</v>
      </c>
      <c r="D634" s="3" t="str">
        <f t="shared" si="76"/>
        <v>Wednesday</v>
      </c>
      <c r="E634">
        <v>125182.75719999999</v>
      </c>
      <c r="F634">
        <v>138583.83780000001</v>
      </c>
      <c r="G634">
        <v>3725</v>
      </c>
      <c r="H634" s="1">
        <f t="shared" si="77"/>
        <v>33.606109315436242</v>
      </c>
      <c r="I634" s="1" t="str">
        <f t="shared" si="78"/>
        <v>Low</v>
      </c>
      <c r="J634">
        <f t="shared" si="79"/>
        <v>-10.705212842204451</v>
      </c>
      <c r="K634">
        <f t="shared" si="80"/>
        <v>37.203714845637585</v>
      </c>
      <c r="L634">
        <f t="shared" si="81"/>
        <v>-10.705212842204437</v>
      </c>
    </row>
    <row r="635" spans="1:12" x14ac:dyDescent="0.25">
      <c r="A635" s="3">
        <v>42271</v>
      </c>
      <c r="B635" s="3" t="str">
        <f t="shared" si="74"/>
        <v>Sep</v>
      </c>
      <c r="C635" s="3" t="str">
        <f t="shared" si="75"/>
        <v>2015</v>
      </c>
      <c r="D635" s="3" t="str">
        <f t="shared" si="76"/>
        <v>Thursday</v>
      </c>
      <c r="E635">
        <v>150036.80499999999</v>
      </c>
      <c r="F635">
        <v>167704.8554</v>
      </c>
      <c r="G635">
        <v>4492</v>
      </c>
      <c r="H635" s="1">
        <f t="shared" si="77"/>
        <v>33.400891585040071</v>
      </c>
      <c r="I635" s="1" t="str">
        <f t="shared" si="78"/>
        <v>Low</v>
      </c>
      <c r="J635">
        <f t="shared" si="79"/>
        <v>-11.775810875204925</v>
      </c>
      <c r="K635">
        <f t="shared" si="80"/>
        <v>37.334117408726627</v>
      </c>
      <c r="L635">
        <f t="shared" si="81"/>
        <v>-11.775810875204925</v>
      </c>
    </row>
    <row r="636" spans="1:12" x14ac:dyDescent="0.25">
      <c r="A636" s="3">
        <v>42272</v>
      </c>
      <c r="B636" s="3" t="str">
        <f t="shared" si="74"/>
        <v>Sep</v>
      </c>
      <c r="C636" s="3" t="str">
        <f t="shared" si="75"/>
        <v>2015</v>
      </c>
      <c r="D636" s="3" t="str">
        <f t="shared" si="76"/>
        <v>Friday</v>
      </c>
      <c r="E636">
        <v>368037.69189999998</v>
      </c>
      <c r="F636">
        <v>413540.80719999998</v>
      </c>
      <c r="G636">
        <v>11030</v>
      </c>
      <c r="H636" s="1">
        <f t="shared" si="77"/>
        <v>33.366971160471437</v>
      </c>
      <c r="I636" s="1" t="str">
        <f t="shared" si="78"/>
        <v>Low</v>
      </c>
      <c r="J636">
        <f t="shared" si="79"/>
        <v>-12.363710647431111</v>
      </c>
      <c r="K636">
        <f t="shared" si="80"/>
        <v>37.492366926563918</v>
      </c>
      <c r="L636">
        <f t="shared" si="81"/>
        <v>-12.36371064743113</v>
      </c>
    </row>
    <row r="637" spans="1:12" x14ac:dyDescent="0.25">
      <c r="A637" s="3">
        <v>42273</v>
      </c>
      <c r="B637" s="3" t="str">
        <f t="shared" si="74"/>
        <v>Sep</v>
      </c>
      <c r="C637" s="3" t="str">
        <f t="shared" si="75"/>
        <v>2015</v>
      </c>
      <c r="D637" s="3" t="str">
        <f t="shared" si="76"/>
        <v>Saturday</v>
      </c>
      <c r="E637">
        <v>351319.63809999998</v>
      </c>
      <c r="F637">
        <v>397626.58510000003</v>
      </c>
      <c r="G637">
        <v>10528</v>
      </c>
      <c r="H637" s="1">
        <f t="shared" si="77"/>
        <v>33.370026415273557</v>
      </c>
      <c r="I637" s="1" t="str">
        <f t="shared" si="78"/>
        <v>Low</v>
      </c>
      <c r="J637">
        <f t="shared" si="79"/>
        <v>-13.180859245568044</v>
      </c>
      <c r="K637">
        <f t="shared" si="80"/>
        <v>37.768482627279639</v>
      </c>
      <c r="L637">
        <f t="shared" si="81"/>
        <v>-13.180859245568039</v>
      </c>
    </row>
    <row r="638" spans="1:12" x14ac:dyDescent="0.25">
      <c r="A638" s="3">
        <v>42274</v>
      </c>
      <c r="B638" s="3" t="str">
        <f t="shared" si="74"/>
        <v>Sep</v>
      </c>
      <c r="C638" s="3" t="str">
        <f t="shared" si="75"/>
        <v>2015</v>
      </c>
      <c r="D638" s="3" t="str">
        <f t="shared" si="76"/>
        <v>Sunday</v>
      </c>
      <c r="E638">
        <v>163289.93669999999</v>
      </c>
      <c r="F638">
        <v>185404.04399999999</v>
      </c>
      <c r="G638">
        <v>4895</v>
      </c>
      <c r="H638" s="1">
        <f t="shared" si="77"/>
        <v>33.358516179775279</v>
      </c>
      <c r="I638" s="1" t="str">
        <f t="shared" si="78"/>
        <v>Low</v>
      </c>
      <c r="J638">
        <f t="shared" si="79"/>
        <v>-13.542847616279346</v>
      </c>
      <c r="K638">
        <f t="shared" si="80"/>
        <v>37.876209193054137</v>
      </c>
      <c r="L638">
        <f t="shared" si="81"/>
        <v>-13.542847616279353</v>
      </c>
    </row>
    <row r="639" spans="1:12" x14ac:dyDescent="0.25">
      <c r="A639" s="3">
        <v>42275</v>
      </c>
      <c r="B639" s="3" t="str">
        <f t="shared" si="74"/>
        <v>Sep</v>
      </c>
      <c r="C639" s="3" t="str">
        <f t="shared" si="75"/>
        <v>2015</v>
      </c>
      <c r="D639" s="3" t="str">
        <f t="shared" si="76"/>
        <v>Monday</v>
      </c>
      <c r="E639">
        <v>190892.459</v>
      </c>
      <c r="F639">
        <v>216571.0595</v>
      </c>
      <c r="G639">
        <v>5720</v>
      </c>
      <c r="H639" s="1">
        <f t="shared" si="77"/>
        <v>33.372807517482521</v>
      </c>
      <c r="I639" s="1" t="str">
        <f t="shared" si="78"/>
        <v>Low</v>
      </c>
      <c r="J639">
        <f t="shared" si="79"/>
        <v>-13.451867420284003</v>
      </c>
      <c r="K639">
        <f t="shared" si="80"/>
        <v>37.862073339160837</v>
      </c>
      <c r="L639">
        <f t="shared" si="81"/>
        <v>-13.451867420283985</v>
      </c>
    </row>
    <row r="640" spans="1:12" x14ac:dyDescent="0.25">
      <c r="A640" s="3">
        <v>42276</v>
      </c>
      <c r="B640" s="3" t="str">
        <f t="shared" si="74"/>
        <v>Sep</v>
      </c>
      <c r="C640" s="3" t="str">
        <f t="shared" si="75"/>
        <v>2015</v>
      </c>
      <c r="D640" s="3" t="str">
        <f t="shared" si="76"/>
        <v>Tuesday</v>
      </c>
      <c r="E640">
        <v>143082.13329999999</v>
      </c>
      <c r="F640">
        <v>162929.01850000001</v>
      </c>
      <c r="G640">
        <v>4288</v>
      </c>
      <c r="H640" s="1">
        <f t="shared" si="77"/>
        <v>33.368034818097009</v>
      </c>
      <c r="I640" s="1" t="str">
        <f t="shared" si="78"/>
        <v>Low</v>
      </c>
      <c r="J640">
        <f t="shared" si="79"/>
        <v>-13.870973784257954</v>
      </c>
      <c r="K640">
        <f t="shared" si="80"/>
        <v>37.996506180037315</v>
      </c>
      <c r="L640">
        <f t="shared" si="81"/>
        <v>-13.870973784257966</v>
      </c>
    </row>
    <row r="641" spans="1:12" x14ac:dyDescent="0.25">
      <c r="A641" s="3">
        <v>42277</v>
      </c>
      <c r="B641" s="3" t="str">
        <f t="shared" si="74"/>
        <v>Sep</v>
      </c>
      <c r="C641" s="3" t="str">
        <f t="shared" si="75"/>
        <v>2015</v>
      </c>
      <c r="D641" s="3" t="str">
        <f t="shared" si="76"/>
        <v>Wednesday</v>
      </c>
      <c r="E641">
        <v>323548.78529999999</v>
      </c>
      <c r="F641">
        <v>368434.88589999999</v>
      </c>
      <c r="G641">
        <v>9693</v>
      </c>
      <c r="H641" s="1">
        <f t="shared" si="77"/>
        <v>33.379633271432994</v>
      </c>
      <c r="I641" s="1" t="str">
        <f t="shared" si="78"/>
        <v>Low</v>
      </c>
      <c r="J641">
        <f t="shared" si="79"/>
        <v>-13.873054895996855</v>
      </c>
      <c r="K641">
        <f t="shared" si="80"/>
        <v>38.010408119261321</v>
      </c>
      <c r="L641">
        <f t="shared" si="81"/>
        <v>-13.873054895996848</v>
      </c>
    </row>
    <row r="642" spans="1:12" x14ac:dyDescent="0.25">
      <c r="A642" s="3">
        <v>42278</v>
      </c>
      <c r="B642" s="3" t="str">
        <f t="shared" si="74"/>
        <v>Oct</v>
      </c>
      <c r="C642" s="3" t="str">
        <f t="shared" si="75"/>
        <v>2015</v>
      </c>
      <c r="D642" s="3" t="str">
        <f t="shared" si="76"/>
        <v>Thursday</v>
      </c>
      <c r="E642">
        <v>402312.33319999999</v>
      </c>
      <c r="F642">
        <v>459285.80450000003</v>
      </c>
      <c r="G642">
        <v>12065</v>
      </c>
      <c r="H642" s="1">
        <f t="shared" si="77"/>
        <v>33.345406813095728</v>
      </c>
      <c r="I642" s="1" t="str">
        <f t="shared" si="78"/>
        <v>Low</v>
      </c>
      <c r="J642">
        <f t="shared" si="79"/>
        <v>-14.161502543765426</v>
      </c>
      <c r="K642">
        <f t="shared" si="80"/>
        <v>38.067617447161211</v>
      </c>
      <c r="L642">
        <f t="shared" si="81"/>
        <v>-14.161502543765431</v>
      </c>
    </row>
    <row r="643" spans="1:12" x14ac:dyDescent="0.25">
      <c r="A643" s="3">
        <v>42279</v>
      </c>
      <c r="B643" s="3" t="str">
        <f t="shared" ref="B643:B706" si="82">TEXT(A643,"mmm")</f>
        <v>Oct</v>
      </c>
      <c r="C643" s="3" t="str">
        <f t="shared" ref="C643:C706" si="83">TEXT(A643,"yyyy")</f>
        <v>2015</v>
      </c>
      <c r="D643" s="3" t="str">
        <f t="shared" ref="D643:D706" si="84">TEXT(A643,"dddd")</f>
        <v>Friday</v>
      </c>
      <c r="E643">
        <v>393635.17489999998</v>
      </c>
      <c r="F643">
        <v>448390.96580000001</v>
      </c>
      <c r="G643">
        <v>11758</v>
      </c>
      <c r="H643" s="1">
        <f t="shared" ref="H643:H706" si="85">E643/G643</f>
        <v>33.478072367749618</v>
      </c>
      <c r="I643" s="1" t="str">
        <f t="shared" ref="I643:I706" si="86">IF(H643&lt;PERCENTILE(H643:H1695,0.33),"Low", IF(H643&gt;PERCENTILE(H643:H1695,0.67),"High","Medium"))</f>
        <v>Low</v>
      </c>
      <c r="J643">
        <f t="shared" ref="J643:J706" si="87">(E643-F643)/E643 *100</f>
        <v>-13.910289118321378</v>
      </c>
      <c r="K643">
        <f t="shared" ref="K643:K706" si="88">F643/G643</f>
        <v>38.134969025344446</v>
      </c>
      <c r="L643">
        <f t="shared" ref="L643:L706" si="89">(H643-K643)/H643 *100</f>
        <v>-13.910289118321367</v>
      </c>
    </row>
    <row r="644" spans="1:12" x14ac:dyDescent="0.25">
      <c r="A644" s="3">
        <v>42280</v>
      </c>
      <c r="B644" s="3" t="str">
        <f t="shared" si="82"/>
        <v>Oct</v>
      </c>
      <c r="C644" s="3" t="str">
        <f t="shared" si="83"/>
        <v>2015</v>
      </c>
      <c r="D644" s="3" t="str">
        <f t="shared" si="84"/>
        <v>Saturday</v>
      </c>
      <c r="E644">
        <v>451100.0601</v>
      </c>
      <c r="F644">
        <v>515549.38990000001</v>
      </c>
      <c r="G644">
        <v>13508</v>
      </c>
      <c r="H644" s="1">
        <f t="shared" si="85"/>
        <v>33.395029619484752</v>
      </c>
      <c r="I644" s="1" t="str">
        <f t="shared" si="86"/>
        <v>Low</v>
      </c>
      <c r="J644">
        <f t="shared" si="87"/>
        <v>-14.287147243055756</v>
      </c>
      <c r="K644">
        <f t="shared" si="88"/>
        <v>38.166226673082619</v>
      </c>
      <c r="L644">
        <f t="shared" si="89"/>
        <v>-14.287147243055747</v>
      </c>
    </row>
    <row r="645" spans="1:12" x14ac:dyDescent="0.25">
      <c r="A645" s="3">
        <v>42281</v>
      </c>
      <c r="B645" s="3" t="str">
        <f t="shared" si="82"/>
        <v>Oct</v>
      </c>
      <c r="C645" s="3" t="str">
        <f t="shared" si="83"/>
        <v>2015</v>
      </c>
      <c r="D645" s="3" t="str">
        <f t="shared" si="84"/>
        <v>Sunday</v>
      </c>
      <c r="E645">
        <v>202902.6249</v>
      </c>
      <c r="F645">
        <v>232360.3272</v>
      </c>
      <c r="G645">
        <v>6085</v>
      </c>
      <c r="H645" s="1">
        <f t="shared" si="85"/>
        <v>33.34472060805259</v>
      </c>
      <c r="I645" s="1" t="str">
        <f t="shared" si="86"/>
        <v>Low</v>
      </c>
      <c r="J645">
        <f t="shared" si="87"/>
        <v>-14.518147468283447</v>
      </c>
      <c r="K645">
        <f t="shared" si="88"/>
        <v>38.185756318816765</v>
      </c>
      <c r="L645">
        <f t="shared" si="89"/>
        <v>-14.518147468283443</v>
      </c>
    </row>
    <row r="646" spans="1:12" x14ac:dyDescent="0.25">
      <c r="A646" s="3">
        <v>42282</v>
      </c>
      <c r="B646" s="3" t="str">
        <f t="shared" si="82"/>
        <v>Oct</v>
      </c>
      <c r="C646" s="3" t="str">
        <f t="shared" si="83"/>
        <v>2015</v>
      </c>
      <c r="D646" s="3" t="str">
        <f t="shared" si="84"/>
        <v>Monday</v>
      </c>
      <c r="E646">
        <v>294557.64640000003</v>
      </c>
      <c r="F646">
        <v>336897.92239999998</v>
      </c>
      <c r="G646">
        <v>8828</v>
      </c>
      <c r="H646" s="1">
        <f t="shared" si="85"/>
        <v>33.366294336202991</v>
      </c>
      <c r="I646" s="1" t="str">
        <f t="shared" si="86"/>
        <v>Low</v>
      </c>
      <c r="J646">
        <f t="shared" si="87"/>
        <v>-14.374190083832755</v>
      </c>
      <c r="K646">
        <f t="shared" si="88"/>
        <v>38.162428908019933</v>
      </c>
      <c r="L646">
        <f t="shared" si="89"/>
        <v>-14.374190083832762</v>
      </c>
    </row>
    <row r="647" spans="1:12" x14ac:dyDescent="0.25">
      <c r="A647" s="3">
        <v>42283</v>
      </c>
      <c r="B647" s="3" t="str">
        <f t="shared" si="82"/>
        <v>Oct</v>
      </c>
      <c r="C647" s="3" t="str">
        <f t="shared" si="83"/>
        <v>2015</v>
      </c>
      <c r="D647" s="3" t="str">
        <f t="shared" si="84"/>
        <v>Tuesday</v>
      </c>
      <c r="E647">
        <v>221618.32819999999</v>
      </c>
      <c r="F647">
        <v>253291.06229999999</v>
      </c>
      <c r="G647">
        <v>6636</v>
      </c>
      <c r="H647" s="1">
        <f t="shared" si="85"/>
        <v>33.39637254370102</v>
      </c>
      <c r="I647" s="1" t="str">
        <f t="shared" si="86"/>
        <v>Low</v>
      </c>
      <c r="J647">
        <f t="shared" si="87"/>
        <v>-14.291568011205674</v>
      </c>
      <c r="K647">
        <f t="shared" si="88"/>
        <v>38.169237839059676</v>
      </c>
      <c r="L647">
        <f t="shared" si="89"/>
        <v>-14.291568011205694</v>
      </c>
    </row>
    <row r="648" spans="1:12" x14ac:dyDescent="0.25">
      <c r="A648" s="3">
        <v>42284</v>
      </c>
      <c r="B648" s="3" t="str">
        <f t="shared" si="82"/>
        <v>Oct</v>
      </c>
      <c r="C648" s="3" t="str">
        <f t="shared" si="83"/>
        <v>2015</v>
      </c>
      <c r="D648" s="3" t="str">
        <f t="shared" si="84"/>
        <v>Wednesday</v>
      </c>
      <c r="E648">
        <v>63968.38248</v>
      </c>
      <c r="F648">
        <v>61942.842680000002</v>
      </c>
      <c r="G648">
        <v>1622</v>
      </c>
      <c r="H648" s="1">
        <f t="shared" si="85"/>
        <v>39.437967003699136</v>
      </c>
      <c r="I648" s="1" t="str">
        <f t="shared" si="86"/>
        <v>Medium</v>
      </c>
      <c r="J648">
        <f t="shared" si="87"/>
        <v>3.1664702490066752</v>
      </c>
      <c r="K648">
        <f t="shared" si="88"/>
        <v>38.189175511713934</v>
      </c>
      <c r="L648">
        <f t="shared" si="89"/>
        <v>3.1664702490066734</v>
      </c>
    </row>
    <row r="649" spans="1:12" x14ac:dyDescent="0.25">
      <c r="A649" s="3">
        <v>42285</v>
      </c>
      <c r="B649" s="3" t="str">
        <f t="shared" si="82"/>
        <v>Oct</v>
      </c>
      <c r="C649" s="3" t="str">
        <f t="shared" si="83"/>
        <v>2015</v>
      </c>
      <c r="D649" s="3" t="str">
        <f t="shared" si="84"/>
        <v>Thursday</v>
      </c>
      <c r="E649">
        <v>59609.544710000002</v>
      </c>
      <c r="F649">
        <v>57736.47666</v>
      </c>
      <c r="G649">
        <v>1512</v>
      </c>
      <c r="H649" s="1">
        <f t="shared" si="85"/>
        <v>39.424302056878311</v>
      </c>
      <c r="I649" s="1" t="str">
        <f t="shared" si="86"/>
        <v>Medium</v>
      </c>
      <c r="J649">
        <f t="shared" si="87"/>
        <v>3.1422284117626869</v>
      </c>
      <c r="K649">
        <f t="shared" si="88"/>
        <v>38.185500436507937</v>
      </c>
      <c r="L649">
        <f t="shared" si="89"/>
        <v>3.142228411762694</v>
      </c>
    </row>
    <row r="650" spans="1:12" x14ac:dyDescent="0.25">
      <c r="A650" s="3">
        <v>42286</v>
      </c>
      <c r="B650" s="3" t="str">
        <f t="shared" si="82"/>
        <v>Oct</v>
      </c>
      <c r="C650" s="3" t="str">
        <f t="shared" si="83"/>
        <v>2015</v>
      </c>
      <c r="D650" s="3" t="str">
        <f t="shared" si="84"/>
        <v>Friday</v>
      </c>
      <c r="E650">
        <v>126588.253</v>
      </c>
      <c r="F650">
        <v>122622.3631</v>
      </c>
      <c r="G650">
        <v>3211</v>
      </c>
      <c r="H650" s="1">
        <f t="shared" si="85"/>
        <v>39.423311429461229</v>
      </c>
      <c r="I650" s="1" t="str">
        <f t="shared" si="86"/>
        <v>Medium</v>
      </c>
      <c r="J650">
        <f t="shared" si="87"/>
        <v>3.1329051519496005</v>
      </c>
      <c r="K650">
        <f t="shared" si="88"/>
        <v>38.1882164746185</v>
      </c>
      <c r="L650">
        <f t="shared" si="89"/>
        <v>3.1329051519496081</v>
      </c>
    </row>
    <row r="651" spans="1:12" x14ac:dyDescent="0.25">
      <c r="A651" s="3">
        <v>42287</v>
      </c>
      <c r="B651" s="3" t="str">
        <f t="shared" si="82"/>
        <v>Oct</v>
      </c>
      <c r="C651" s="3" t="str">
        <f t="shared" si="83"/>
        <v>2015</v>
      </c>
      <c r="D651" s="3" t="str">
        <f t="shared" si="84"/>
        <v>Saturday</v>
      </c>
      <c r="E651">
        <v>119755.0116</v>
      </c>
      <c r="F651">
        <v>116003.6869</v>
      </c>
      <c r="G651">
        <v>3037</v>
      </c>
      <c r="H651" s="1">
        <f t="shared" si="85"/>
        <v>39.432009087915702</v>
      </c>
      <c r="I651" s="1" t="str">
        <f t="shared" si="86"/>
        <v>Medium</v>
      </c>
      <c r="J651">
        <f t="shared" si="87"/>
        <v>3.1324991329214633</v>
      </c>
      <c r="K651">
        <f t="shared" si="88"/>
        <v>38.196801745143233</v>
      </c>
      <c r="L651">
        <f t="shared" si="89"/>
        <v>3.1324991329214553</v>
      </c>
    </row>
    <row r="652" spans="1:12" x14ac:dyDescent="0.25">
      <c r="A652" s="3">
        <v>42288</v>
      </c>
      <c r="B652" s="3" t="str">
        <f t="shared" si="82"/>
        <v>Oct</v>
      </c>
      <c r="C652" s="3" t="str">
        <f t="shared" si="83"/>
        <v>2015</v>
      </c>
      <c r="D652" s="3" t="str">
        <f t="shared" si="84"/>
        <v>Sunday</v>
      </c>
      <c r="E652">
        <v>57413.410479999999</v>
      </c>
      <c r="F652">
        <v>55617.584640000001</v>
      </c>
      <c r="G652">
        <v>1456</v>
      </c>
      <c r="H652" s="1">
        <f t="shared" si="85"/>
        <v>39.432287417582415</v>
      </c>
      <c r="I652" s="1" t="str">
        <f t="shared" si="86"/>
        <v>Medium</v>
      </c>
      <c r="J652">
        <f t="shared" si="87"/>
        <v>3.1278856716334151</v>
      </c>
      <c r="K652">
        <f t="shared" si="88"/>
        <v>38.198890549450553</v>
      </c>
      <c r="L652">
        <f t="shared" si="89"/>
        <v>3.1278856716334049</v>
      </c>
    </row>
    <row r="653" spans="1:12" x14ac:dyDescent="0.25">
      <c r="A653" s="3">
        <v>42289</v>
      </c>
      <c r="B653" s="3" t="str">
        <f t="shared" si="82"/>
        <v>Oct</v>
      </c>
      <c r="C653" s="3" t="str">
        <f t="shared" si="83"/>
        <v>2015</v>
      </c>
      <c r="D653" s="3" t="str">
        <f t="shared" si="84"/>
        <v>Monday</v>
      </c>
      <c r="E653">
        <v>57749.136939999997</v>
      </c>
      <c r="F653">
        <v>55933.008580000002</v>
      </c>
      <c r="G653">
        <v>1465</v>
      </c>
      <c r="H653" s="1">
        <f t="shared" si="85"/>
        <v>39.419206102389076</v>
      </c>
      <c r="I653" s="1" t="str">
        <f t="shared" si="86"/>
        <v>Medium</v>
      </c>
      <c r="J653">
        <f t="shared" si="87"/>
        <v>3.1448580121412202</v>
      </c>
      <c r="K653">
        <f t="shared" si="88"/>
        <v>38.179528040955631</v>
      </c>
      <c r="L653">
        <f t="shared" si="89"/>
        <v>3.1448580121412224</v>
      </c>
    </row>
    <row r="654" spans="1:12" x14ac:dyDescent="0.25">
      <c r="A654" s="3">
        <v>42290</v>
      </c>
      <c r="B654" s="3" t="str">
        <f t="shared" si="82"/>
        <v>Oct</v>
      </c>
      <c r="C654" s="3" t="str">
        <f t="shared" si="83"/>
        <v>2015</v>
      </c>
      <c r="D654" s="3" t="str">
        <f t="shared" si="84"/>
        <v>Tuesday</v>
      </c>
      <c r="E654">
        <v>40140.820030000003</v>
      </c>
      <c r="F654">
        <v>38881.08844</v>
      </c>
      <c r="G654">
        <v>1018</v>
      </c>
      <c r="H654" s="1">
        <f t="shared" si="85"/>
        <v>39.43106093320236</v>
      </c>
      <c r="I654" s="1" t="str">
        <f t="shared" si="86"/>
        <v>Medium</v>
      </c>
      <c r="J654">
        <f t="shared" si="87"/>
        <v>3.1382806555982636</v>
      </c>
      <c r="K654">
        <f t="shared" si="88"/>
        <v>38.193603575638505</v>
      </c>
      <c r="L654">
        <f t="shared" si="89"/>
        <v>3.1382806555982667</v>
      </c>
    </row>
    <row r="655" spans="1:12" x14ac:dyDescent="0.25">
      <c r="A655" s="3">
        <v>42291</v>
      </c>
      <c r="B655" s="3" t="str">
        <f t="shared" si="82"/>
        <v>Oct</v>
      </c>
      <c r="C655" s="3" t="str">
        <f t="shared" si="83"/>
        <v>2015</v>
      </c>
      <c r="D655" s="3" t="str">
        <f t="shared" si="84"/>
        <v>Wednesday</v>
      </c>
      <c r="E655">
        <v>42195.817360000001</v>
      </c>
      <c r="F655">
        <v>40869.249470000002</v>
      </c>
      <c r="G655">
        <v>1070</v>
      </c>
      <c r="H655" s="1">
        <f t="shared" si="85"/>
        <v>39.435343327102807</v>
      </c>
      <c r="I655" s="1" t="str">
        <f t="shared" si="86"/>
        <v>Medium</v>
      </c>
      <c r="J655">
        <f t="shared" si="87"/>
        <v>3.143837406163231</v>
      </c>
      <c r="K655">
        <f t="shared" si="88"/>
        <v>38.195560252336449</v>
      </c>
      <c r="L655">
        <f t="shared" si="89"/>
        <v>3.1438374061632413</v>
      </c>
    </row>
    <row r="656" spans="1:12" x14ac:dyDescent="0.25">
      <c r="A656" s="3">
        <v>42292</v>
      </c>
      <c r="B656" s="3" t="str">
        <f t="shared" si="82"/>
        <v>Oct</v>
      </c>
      <c r="C656" s="3" t="str">
        <f t="shared" si="83"/>
        <v>2015</v>
      </c>
      <c r="D656" s="3" t="str">
        <f t="shared" si="84"/>
        <v>Thursday</v>
      </c>
      <c r="E656">
        <v>53490.797469999998</v>
      </c>
      <c r="F656">
        <v>51799.1659</v>
      </c>
      <c r="G656">
        <v>1357</v>
      </c>
      <c r="H656" s="1">
        <f t="shared" si="85"/>
        <v>39.4184211274871</v>
      </c>
      <c r="I656" s="1" t="str">
        <f t="shared" si="86"/>
        <v>Medium</v>
      </c>
      <c r="J656">
        <f t="shared" si="87"/>
        <v>3.1624721447623569</v>
      </c>
      <c r="K656">
        <f t="shared" si="88"/>
        <v>38.171824539425202</v>
      </c>
      <c r="L656">
        <f t="shared" si="89"/>
        <v>3.1624721447623538</v>
      </c>
    </row>
    <row r="657" spans="1:12" x14ac:dyDescent="0.25">
      <c r="A657" s="3">
        <v>42293</v>
      </c>
      <c r="B657" s="3" t="str">
        <f t="shared" si="82"/>
        <v>Oct</v>
      </c>
      <c r="C657" s="3" t="str">
        <f t="shared" si="83"/>
        <v>2015</v>
      </c>
      <c r="D657" s="3" t="str">
        <f t="shared" si="84"/>
        <v>Friday</v>
      </c>
      <c r="E657">
        <v>110809.3158</v>
      </c>
      <c r="F657">
        <v>107331.98050000001</v>
      </c>
      <c r="G657">
        <v>2810</v>
      </c>
      <c r="H657" s="1">
        <f t="shared" si="85"/>
        <v>39.43392021352313</v>
      </c>
      <c r="I657" s="1" t="str">
        <f t="shared" si="86"/>
        <v>Medium</v>
      </c>
      <c r="J657">
        <f t="shared" si="87"/>
        <v>3.1381254138201182</v>
      </c>
      <c r="K657">
        <f t="shared" si="88"/>
        <v>38.196434341637016</v>
      </c>
      <c r="L657">
        <f t="shared" si="89"/>
        <v>3.1381254138201102</v>
      </c>
    </row>
    <row r="658" spans="1:12" x14ac:dyDescent="0.25">
      <c r="A658" s="3">
        <v>42294</v>
      </c>
      <c r="B658" s="3" t="str">
        <f t="shared" si="82"/>
        <v>Oct</v>
      </c>
      <c r="C658" s="3" t="str">
        <f t="shared" si="83"/>
        <v>2015</v>
      </c>
      <c r="D658" s="3" t="str">
        <f t="shared" si="84"/>
        <v>Saturday</v>
      </c>
      <c r="E658">
        <v>111527.0135</v>
      </c>
      <c r="F658">
        <v>108023.6073</v>
      </c>
      <c r="G658">
        <v>2829</v>
      </c>
      <c r="H658" s="1">
        <f t="shared" si="85"/>
        <v>39.422768999646522</v>
      </c>
      <c r="I658" s="1" t="str">
        <f t="shared" si="86"/>
        <v>Medium</v>
      </c>
      <c r="J658">
        <f t="shared" si="87"/>
        <v>3.1413072851627986</v>
      </c>
      <c r="K658">
        <f t="shared" si="88"/>
        <v>38.184378685047719</v>
      </c>
      <c r="L658">
        <f t="shared" si="89"/>
        <v>3.1413072851628123</v>
      </c>
    </row>
    <row r="659" spans="1:12" x14ac:dyDescent="0.25">
      <c r="A659" s="3">
        <v>42295</v>
      </c>
      <c r="B659" s="3" t="str">
        <f t="shared" si="82"/>
        <v>Oct</v>
      </c>
      <c r="C659" s="3" t="str">
        <f t="shared" si="83"/>
        <v>2015</v>
      </c>
      <c r="D659" s="3" t="str">
        <f t="shared" si="84"/>
        <v>Sunday</v>
      </c>
      <c r="E659">
        <v>59808.13867</v>
      </c>
      <c r="F659">
        <v>57937.458659999997</v>
      </c>
      <c r="G659">
        <v>1517</v>
      </c>
      <c r="H659" s="1">
        <f t="shared" si="85"/>
        <v>39.425272689518785</v>
      </c>
      <c r="I659" s="1" t="str">
        <f t="shared" si="86"/>
        <v>Medium</v>
      </c>
      <c r="J659">
        <f t="shared" si="87"/>
        <v>3.1278017534064206</v>
      </c>
      <c r="K659">
        <f t="shared" si="88"/>
        <v>38.192128319050752</v>
      </c>
      <c r="L659">
        <f t="shared" si="89"/>
        <v>3.1278017534064237</v>
      </c>
    </row>
    <row r="660" spans="1:12" x14ac:dyDescent="0.25">
      <c r="A660" s="3">
        <v>42296</v>
      </c>
      <c r="B660" s="3" t="str">
        <f t="shared" si="82"/>
        <v>Oct</v>
      </c>
      <c r="C660" s="3" t="str">
        <f t="shared" si="83"/>
        <v>2015</v>
      </c>
      <c r="D660" s="3" t="str">
        <f t="shared" si="84"/>
        <v>Monday</v>
      </c>
      <c r="E660">
        <v>55166.22623</v>
      </c>
      <c r="F660">
        <v>53436.897089999999</v>
      </c>
      <c r="G660">
        <v>1399</v>
      </c>
      <c r="H660" s="1">
        <f t="shared" si="85"/>
        <v>39.432613459614011</v>
      </c>
      <c r="I660" s="1" t="str">
        <f t="shared" si="86"/>
        <v>Medium</v>
      </c>
      <c r="J660">
        <f t="shared" si="87"/>
        <v>3.1347606283417906</v>
      </c>
      <c r="K660">
        <f t="shared" si="88"/>
        <v>38.196495418155827</v>
      </c>
      <c r="L660">
        <f t="shared" si="89"/>
        <v>3.1347606283417857</v>
      </c>
    </row>
    <row r="661" spans="1:12" x14ac:dyDescent="0.25">
      <c r="A661" s="3">
        <v>42297</v>
      </c>
      <c r="B661" s="3" t="str">
        <f t="shared" si="82"/>
        <v>Oct</v>
      </c>
      <c r="C661" s="3" t="str">
        <f t="shared" si="83"/>
        <v>2015</v>
      </c>
      <c r="D661" s="3" t="str">
        <f t="shared" si="84"/>
        <v>Tuesday</v>
      </c>
      <c r="E661">
        <v>42054.680469999999</v>
      </c>
      <c r="F661">
        <v>40736.150479999997</v>
      </c>
      <c r="G661">
        <v>1067</v>
      </c>
      <c r="H661" s="1">
        <f t="shared" si="85"/>
        <v>39.413946082474226</v>
      </c>
      <c r="I661" s="1" t="str">
        <f t="shared" si="86"/>
        <v>Medium</v>
      </c>
      <c r="J661">
        <f t="shared" si="87"/>
        <v>3.1352752541791049</v>
      </c>
      <c r="K661">
        <f t="shared" si="88"/>
        <v>38.178210384254918</v>
      </c>
      <c r="L661">
        <f t="shared" si="89"/>
        <v>3.1352752541791027</v>
      </c>
    </row>
    <row r="662" spans="1:12" x14ac:dyDescent="0.25">
      <c r="A662" s="3">
        <v>42298</v>
      </c>
      <c r="B662" s="3" t="str">
        <f t="shared" si="82"/>
        <v>Oct</v>
      </c>
      <c r="C662" s="3" t="str">
        <f t="shared" si="83"/>
        <v>2015</v>
      </c>
      <c r="D662" s="3" t="str">
        <f t="shared" si="84"/>
        <v>Wednesday</v>
      </c>
      <c r="E662">
        <v>53678.179109999997</v>
      </c>
      <c r="F662">
        <v>51999.860869999997</v>
      </c>
      <c r="G662">
        <v>1361</v>
      </c>
      <c r="H662" s="1">
        <f t="shared" si="85"/>
        <v>39.440249162380603</v>
      </c>
      <c r="I662" s="1" t="str">
        <f t="shared" si="86"/>
        <v>Medium</v>
      </c>
      <c r="J662">
        <f t="shared" si="87"/>
        <v>3.126630351153878</v>
      </c>
      <c r="K662">
        <f t="shared" si="88"/>
        <v>38.207098361498893</v>
      </c>
      <c r="L662">
        <f t="shared" si="89"/>
        <v>3.1266303511538895</v>
      </c>
    </row>
    <row r="663" spans="1:12" x14ac:dyDescent="0.25">
      <c r="A663" s="3">
        <v>42299</v>
      </c>
      <c r="B663" s="3" t="str">
        <f t="shared" si="82"/>
        <v>Oct</v>
      </c>
      <c r="C663" s="3" t="str">
        <f t="shared" si="83"/>
        <v>2015</v>
      </c>
      <c r="D663" s="3" t="str">
        <f t="shared" si="84"/>
        <v>Thursday</v>
      </c>
      <c r="E663">
        <v>55930.168640000004</v>
      </c>
      <c r="F663">
        <v>54177.690060000001</v>
      </c>
      <c r="G663">
        <v>1419</v>
      </c>
      <c r="H663" s="1">
        <f t="shared" si="85"/>
        <v>39.41519988724454</v>
      </c>
      <c r="I663" s="1" t="str">
        <f t="shared" si="86"/>
        <v>Medium</v>
      </c>
      <c r="J663">
        <f t="shared" si="87"/>
        <v>3.1333332664880782</v>
      </c>
      <c r="K663">
        <f t="shared" si="88"/>
        <v>38.180190317124733</v>
      </c>
      <c r="L663">
        <f t="shared" si="89"/>
        <v>3.1333332664880844</v>
      </c>
    </row>
    <row r="664" spans="1:12" x14ac:dyDescent="0.25">
      <c r="A664" s="3">
        <v>42300</v>
      </c>
      <c r="B664" s="3" t="str">
        <f t="shared" si="82"/>
        <v>Oct</v>
      </c>
      <c r="C664" s="3" t="str">
        <f t="shared" si="83"/>
        <v>2015</v>
      </c>
      <c r="D664" s="3" t="str">
        <f t="shared" si="84"/>
        <v>Friday</v>
      </c>
      <c r="E664">
        <v>185771.00150000001</v>
      </c>
      <c r="F664">
        <v>192527.011</v>
      </c>
      <c r="G664">
        <v>5042</v>
      </c>
      <c r="H664" s="1">
        <f t="shared" si="85"/>
        <v>36.844704779849266</v>
      </c>
      <c r="I664" s="1" t="str">
        <f t="shared" si="86"/>
        <v>Medium</v>
      </c>
      <c r="J664">
        <f t="shared" si="87"/>
        <v>-3.6367406352169471</v>
      </c>
      <c r="K664">
        <f t="shared" si="88"/>
        <v>38.184651130503767</v>
      </c>
      <c r="L664">
        <f t="shared" si="89"/>
        <v>-3.6367406352169507</v>
      </c>
    </row>
    <row r="665" spans="1:12" x14ac:dyDescent="0.25">
      <c r="A665" s="3">
        <v>42301</v>
      </c>
      <c r="B665" s="3" t="str">
        <f t="shared" si="82"/>
        <v>Oct</v>
      </c>
      <c r="C665" s="3" t="str">
        <f t="shared" si="83"/>
        <v>2015</v>
      </c>
      <c r="D665" s="3" t="str">
        <f t="shared" si="84"/>
        <v>Saturday</v>
      </c>
      <c r="E665">
        <v>253116.91320000001</v>
      </c>
      <c r="F665">
        <v>262409.56939999998</v>
      </c>
      <c r="G665">
        <v>6872</v>
      </c>
      <c r="H665" s="1">
        <f t="shared" si="85"/>
        <v>36.833078172293369</v>
      </c>
      <c r="I665" s="1" t="str">
        <f t="shared" si="86"/>
        <v>Medium</v>
      </c>
      <c r="J665">
        <f t="shared" si="87"/>
        <v>-3.6712901095856001</v>
      </c>
      <c r="K665">
        <f t="shared" si="88"/>
        <v>38.185327328288707</v>
      </c>
      <c r="L665">
        <f t="shared" si="89"/>
        <v>-3.6712901095855974</v>
      </c>
    </row>
    <row r="666" spans="1:12" x14ac:dyDescent="0.25">
      <c r="A666" s="3">
        <v>42302</v>
      </c>
      <c r="B666" s="3" t="str">
        <f t="shared" si="82"/>
        <v>Oct</v>
      </c>
      <c r="C666" s="3" t="str">
        <f t="shared" si="83"/>
        <v>2015</v>
      </c>
      <c r="D666" s="3" t="str">
        <f t="shared" si="84"/>
        <v>Sunday</v>
      </c>
      <c r="E666">
        <v>118618.4537</v>
      </c>
      <c r="F666">
        <v>122915.26700000001</v>
      </c>
      <c r="G666">
        <v>3218</v>
      </c>
      <c r="H666" s="1">
        <f t="shared" si="85"/>
        <v>36.860924083281539</v>
      </c>
      <c r="I666" s="1" t="str">
        <f t="shared" si="86"/>
        <v>Medium</v>
      </c>
      <c r="J666">
        <f t="shared" si="87"/>
        <v>-3.6223818183190573</v>
      </c>
      <c r="K666">
        <f t="shared" si="88"/>
        <v>38.19616749533872</v>
      </c>
      <c r="L666">
        <f t="shared" si="89"/>
        <v>-3.6223818183190577</v>
      </c>
    </row>
    <row r="667" spans="1:12" x14ac:dyDescent="0.25">
      <c r="A667" s="3">
        <v>42303</v>
      </c>
      <c r="B667" s="3" t="str">
        <f t="shared" si="82"/>
        <v>Oct</v>
      </c>
      <c r="C667" s="3" t="str">
        <f t="shared" si="83"/>
        <v>2015</v>
      </c>
      <c r="D667" s="3" t="str">
        <f t="shared" si="84"/>
        <v>Monday</v>
      </c>
      <c r="E667">
        <v>123320.784</v>
      </c>
      <c r="F667">
        <v>128133.77860000001</v>
      </c>
      <c r="G667">
        <v>3347</v>
      </c>
      <c r="H667" s="1">
        <f t="shared" si="85"/>
        <v>36.84517000298775</v>
      </c>
      <c r="I667" s="1" t="str">
        <f t="shared" si="86"/>
        <v>Medium</v>
      </c>
      <c r="J667">
        <f t="shared" si="87"/>
        <v>-3.9028251717893756</v>
      </c>
      <c r="K667">
        <f t="shared" si="88"/>
        <v>38.283172572452948</v>
      </c>
      <c r="L667">
        <f t="shared" si="89"/>
        <v>-3.9028251717893849</v>
      </c>
    </row>
    <row r="668" spans="1:12" x14ac:dyDescent="0.25">
      <c r="A668" s="3">
        <v>42304</v>
      </c>
      <c r="B668" s="3" t="str">
        <f t="shared" si="82"/>
        <v>Oct</v>
      </c>
      <c r="C668" s="3" t="str">
        <f t="shared" si="83"/>
        <v>2015</v>
      </c>
      <c r="D668" s="3" t="str">
        <f t="shared" si="84"/>
        <v>Tuesday</v>
      </c>
      <c r="E668">
        <v>117051.2772</v>
      </c>
      <c r="F668">
        <v>122175.0003</v>
      </c>
      <c r="G668">
        <v>3177</v>
      </c>
      <c r="H668" s="1">
        <f t="shared" si="85"/>
        <v>36.843335599622286</v>
      </c>
      <c r="I668" s="1" t="str">
        <f t="shared" si="86"/>
        <v>Medium</v>
      </c>
      <c r="J668">
        <f t="shared" si="87"/>
        <v>-4.3773320740835144</v>
      </c>
      <c r="K668">
        <f t="shared" si="88"/>
        <v>38.456090745986778</v>
      </c>
      <c r="L668">
        <f t="shared" si="89"/>
        <v>-4.3773320740835038</v>
      </c>
    </row>
    <row r="669" spans="1:12" x14ac:dyDescent="0.25">
      <c r="A669" s="3">
        <v>42305</v>
      </c>
      <c r="B669" s="3" t="str">
        <f t="shared" si="82"/>
        <v>Oct</v>
      </c>
      <c r="C669" s="3" t="str">
        <f t="shared" si="83"/>
        <v>2015</v>
      </c>
      <c r="D669" s="3" t="str">
        <f t="shared" si="84"/>
        <v>Wednesday</v>
      </c>
      <c r="E669">
        <v>159299.98910000001</v>
      </c>
      <c r="F669">
        <v>174699.07670000001</v>
      </c>
      <c r="G669">
        <v>4532</v>
      </c>
      <c r="H669" s="1">
        <f t="shared" si="85"/>
        <v>35.150041725507506</v>
      </c>
      <c r="I669" s="1" t="str">
        <f t="shared" si="86"/>
        <v>Medium</v>
      </c>
      <c r="J669">
        <f t="shared" si="87"/>
        <v>-9.6667223186897253</v>
      </c>
      <c r="K669">
        <f t="shared" si="88"/>
        <v>38.547898654015889</v>
      </c>
      <c r="L669">
        <f t="shared" si="89"/>
        <v>-9.6667223186897182</v>
      </c>
    </row>
    <row r="670" spans="1:12" x14ac:dyDescent="0.25">
      <c r="A670" s="3">
        <v>42306</v>
      </c>
      <c r="B670" s="3" t="str">
        <f t="shared" si="82"/>
        <v>Oct</v>
      </c>
      <c r="C670" s="3" t="str">
        <f t="shared" si="83"/>
        <v>2015</v>
      </c>
      <c r="D670" s="3" t="str">
        <f t="shared" si="84"/>
        <v>Thursday</v>
      </c>
      <c r="E670">
        <v>119047.4099</v>
      </c>
      <c r="F670">
        <v>124349.26549999999</v>
      </c>
      <c r="G670">
        <v>3231</v>
      </c>
      <c r="H670" s="1">
        <f t="shared" si="85"/>
        <v>36.845376013618072</v>
      </c>
      <c r="I670" s="1" t="str">
        <f t="shared" si="86"/>
        <v>Medium</v>
      </c>
      <c r="J670">
        <f t="shared" si="87"/>
        <v>-4.4535665282038153</v>
      </c>
      <c r="K670">
        <f t="shared" si="88"/>
        <v>38.486309346951408</v>
      </c>
      <c r="L670">
        <f t="shared" si="89"/>
        <v>-4.4535665282038286</v>
      </c>
    </row>
    <row r="671" spans="1:12" x14ac:dyDescent="0.25">
      <c r="A671" s="3">
        <v>42307</v>
      </c>
      <c r="B671" s="3" t="str">
        <f t="shared" si="82"/>
        <v>Oct</v>
      </c>
      <c r="C671" s="3" t="str">
        <f t="shared" si="83"/>
        <v>2015</v>
      </c>
      <c r="D671" s="3" t="str">
        <f t="shared" si="84"/>
        <v>Friday</v>
      </c>
      <c r="E671">
        <v>285081.9743</v>
      </c>
      <c r="F671">
        <v>297627.69069999998</v>
      </c>
      <c r="G671">
        <v>7731</v>
      </c>
      <c r="H671" s="1">
        <f t="shared" si="85"/>
        <v>36.875174531108527</v>
      </c>
      <c r="I671" s="1" t="str">
        <f t="shared" si="86"/>
        <v>Medium</v>
      </c>
      <c r="J671">
        <f t="shared" si="87"/>
        <v>-4.4007399734077035</v>
      </c>
      <c r="K671">
        <f t="shared" si="88"/>
        <v>38.497955076962874</v>
      </c>
      <c r="L671">
        <f t="shared" si="89"/>
        <v>-4.4007399734076973</v>
      </c>
    </row>
    <row r="672" spans="1:12" x14ac:dyDescent="0.25">
      <c r="A672" s="3">
        <v>42308</v>
      </c>
      <c r="B672" s="3" t="str">
        <f t="shared" si="82"/>
        <v>Oct</v>
      </c>
      <c r="C672" s="3" t="str">
        <f t="shared" si="83"/>
        <v>2015</v>
      </c>
      <c r="D672" s="3" t="str">
        <f t="shared" si="84"/>
        <v>Saturday</v>
      </c>
      <c r="E672">
        <v>391656.21260000003</v>
      </c>
      <c r="F672">
        <v>429832.83480000001</v>
      </c>
      <c r="G672">
        <v>11148</v>
      </c>
      <c r="H672" s="1">
        <f t="shared" si="85"/>
        <v>35.132419501255832</v>
      </c>
      <c r="I672" s="1" t="str">
        <f t="shared" si="86"/>
        <v>Medium</v>
      </c>
      <c r="J672">
        <f t="shared" si="87"/>
        <v>-9.7474828617080842</v>
      </c>
      <c r="K672">
        <f t="shared" si="88"/>
        <v>38.556946071044138</v>
      </c>
      <c r="L672">
        <f t="shared" si="89"/>
        <v>-9.7474828617080966</v>
      </c>
    </row>
    <row r="673" spans="1:12" x14ac:dyDescent="0.25">
      <c r="A673" s="3">
        <v>42309</v>
      </c>
      <c r="B673" s="3" t="str">
        <f t="shared" si="82"/>
        <v>Nov</v>
      </c>
      <c r="C673" s="3" t="str">
        <f t="shared" si="83"/>
        <v>2015</v>
      </c>
      <c r="D673" s="3" t="str">
        <f t="shared" si="84"/>
        <v>Sunday</v>
      </c>
      <c r="E673">
        <v>274814.7781</v>
      </c>
      <c r="F673">
        <v>287978.17489999998</v>
      </c>
      <c r="G673">
        <v>7459</v>
      </c>
      <c r="H673" s="1">
        <f t="shared" si="85"/>
        <v>36.843380895562404</v>
      </c>
      <c r="I673" s="1" t="str">
        <f t="shared" si="86"/>
        <v>Medium</v>
      </c>
      <c r="J673">
        <f t="shared" si="87"/>
        <v>-4.7899159175530484</v>
      </c>
      <c r="K673">
        <f t="shared" si="88"/>
        <v>38.608147861643651</v>
      </c>
      <c r="L673">
        <f t="shared" si="89"/>
        <v>-4.7899159175530599</v>
      </c>
    </row>
    <row r="674" spans="1:12" x14ac:dyDescent="0.25">
      <c r="A674" s="3">
        <v>42310</v>
      </c>
      <c r="B674" s="3" t="str">
        <f t="shared" si="82"/>
        <v>Nov</v>
      </c>
      <c r="C674" s="3" t="str">
        <f t="shared" si="83"/>
        <v>2015</v>
      </c>
      <c r="D674" s="3" t="str">
        <f t="shared" si="84"/>
        <v>Monday</v>
      </c>
      <c r="E674">
        <v>269555.02309999999</v>
      </c>
      <c r="F674">
        <v>281915.19209999999</v>
      </c>
      <c r="G674">
        <v>7316</v>
      </c>
      <c r="H674" s="1">
        <f t="shared" si="85"/>
        <v>36.844590363586661</v>
      </c>
      <c r="I674" s="1" t="str">
        <f t="shared" si="86"/>
        <v>Medium</v>
      </c>
      <c r="J674">
        <f t="shared" si="87"/>
        <v>-4.5853973922847642</v>
      </c>
      <c r="K674">
        <f t="shared" si="88"/>
        <v>38.534061249316565</v>
      </c>
      <c r="L674">
        <f t="shared" si="89"/>
        <v>-4.5853973922847571</v>
      </c>
    </row>
    <row r="675" spans="1:12" x14ac:dyDescent="0.25">
      <c r="A675" s="3">
        <v>42311</v>
      </c>
      <c r="B675" s="3" t="str">
        <f t="shared" si="82"/>
        <v>Nov</v>
      </c>
      <c r="C675" s="3" t="str">
        <f t="shared" si="83"/>
        <v>2015</v>
      </c>
      <c r="D675" s="3" t="str">
        <f t="shared" si="84"/>
        <v>Tuesday</v>
      </c>
      <c r="E675">
        <v>192001.03460000001</v>
      </c>
      <c r="F675">
        <v>201125.77549999999</v>
      </c>
      <c r="G675">
        <v>5211</v>
      </c>
      <c r="H675" s="1">
        <f t="shared" si="85"/>
        <v>36.845333832277873</v>
      </c>
      <c r="I675" s="1" t="str">
        <f t="shared" si="86"/>
        <v>Medium</v>
      </c>
      <c r="J675">
        <f t="shared" si="87"/>
        <v>-4.7524436100095757</v>
      </c>
      <c r="K675">
        <f t="shared" si="88"/>
        <v>38.596387545576661</v>
      </c>
      <c r="L675">
        <f t="shared" si="89"/>
        <v>-4.7524436100095802</v>
      </c>
    </row>
    <row r="676" spans="1:12" x14ac:dyDescent="0.25">
      <c r="A676" s="3">
        <v>42312</v>
      </c>
      <c r="B676" s="3" t="str">
        <f t="shared" si="82"/>
        <v>Nov</v>
      </c>
      <c r="C676" s="3" t="str">
        <f t="shared" si="83"/>
        <v>2015</v>
      </c>
      <c r="D676" s="3" t="str">
        <f t="shared" si="84"/>
        <v>Wednesday</v>
      </c>
      <c r="E676">
        <v>201367.78700000001</v>
      </c>
      <c r="F676">
        <v>220579.99559999999</v>
      </c>
      <c r="G676">
        <v>5731</v>
      </c>
      <c r="H676" s="1">
        <f t="shared" si="85"/>
        <v>35.136588204501834</v>
      </c>
      <c r="I676" s="1" t="str">
        <f t="shared" si="86"/>
        <v>Medium</v>
      </c>
      <c r="J676">
        <f t="shared" si="87"/>
        <v>-9.5408550127235507</v>
      </c>
      <c r="K676">
        <f t="shared" si="88"/>
        <v>38.488919141511076</v>
      </c>
      <c r="L676">
        <f t="shared" si="89"/>
        <v>-9.5408550127235419</v>
      </c>
    </row>
    <row r="677" spans="1:12" x14ac:dyDescent="0.25">
      <c r="A677" s="3">
        <v>42313</v>
      </c>
      <c r="B677" s="3" t="str">
        <f t="shared" si="82"/>
        <v>Nov</v>
      </c>
      <c r="C677" s="3" t="str">
        <f t="shared" si="83"/>
        <v>2015</v>
      </c>
      <c r="D677" s="3" t="str">
        <f t="shared" si="84"/>
        <v>Thursday</v>
      </c>
      <c r="E677">
        <v>111874.55899999999</v>
      </c>
      <c r="F677">
        <v>116637.0343</v>
      </c>
      <c r="G677">
        <v>3036</v>
      </c>
      <c r="H677" s="1">
        <f t="shared" si="85"/>
        <v>36.849327733860342</v>
      </c>
      <c r="I677" s="1" t="str">
        <f t="shared" si="86"/>
        <v>Medium</v>
      </c>
      <c r="J677">
        <f t="shared" si="87"/>
        <v>-4.2569779425901517</v>
      </c>
      <c r="K677">
        <f t="shared" si="88"/>
        <v>38.41799548748353</v>
      </c>
      <c r="L677">
        <f t="shared" si="89"/>
        <v>-4.2569779425901473</v>
      </c>
    </row>
    <row r="678" spans="1:12" x14ac:dyDescent="0.25">
      <c r="A678" s="3">
        <v>42314</v>
      </c>
      <c r="B678" s="3" t="str">
        <f t="shared" si="82"/>
        <v>Nov</v>
      </c>
      <c r="C678" s="3" t="str">
        <f t="shared" si="83"/>
        <v>2015</v>
      </c>
      <c r="D678" s="3" t="str">
        <f t="shared" si="84"/>
        <v>Friday</v>
      </c>
      <c r="E678">
        <v>214540.33309999999</v>
      </c>
      <c r="F678">
        <v>223738.4327</v>
      </c>
      <c r="G678">
        <v>5822</v>
      </c>
      <c r="H678" s="1">
        <f t="shared" si="85"/>
        <v>36.849936980419095</v>
      </c>
      <c r="I678" s="1" t="str">
        <f t="shared" si="86"/>
        <v>Medium</v>
      </c>
      <c r="J678">
        <f t="shared" si="87"/>
        <v>-4.2873521575603517</v>
      </c>
      <c r="K678">
        <f t="shared" si="88"/>
        <v>38.429823548608724</v>
      </c>
      <c r="L678">
        <f t="shared" si="89"/>
        <v>-4.2873521575603544</v>
      </c>
    </row>
    <row r="679" spans="1:12" x14ac:dyDescent="0.25">
      <c r="A679" s="3">
        <v>42315</v>
      </c>
      <c r="B679" s="3" t="str">
        <f t="shared" si="82"/>
        <v>Nov</v>
      </c>
      <c r="C679" s="3" t="str">
        <f t="shared" si="83"/>
        <v>2015</v>
      </c>
      <c r="D679" s="3" t="str">
        <f t="shared" si="84"/>
        <v>Saturday</v>
      </c>
      <c r="E679">
        <v>280264.24449999997</v>
      </c>
      <c r="F679">
        <v>306935.16039999999</v>
      </c>
      <c r="G679">
        <v>7987</v>
      </c>
      <c r="H679" s="1">
        <f t="shared" si="85"/>
        <v>35.09005189683235</v>
      </c>
      <c r="I679" s="1" t="str">
        <f t="shared" si="86"/>
        <v>Low</v>
      </c>
      <c r="J679">
        <f t="shared" si="87"/>
        <v>-9.5163462423049197</v>
      </c>
      <c r="K679">
        <f t="shared" si="88"/>
        <v>38.4293427319394</v>
      </c>
      <c r="L679">
        <f t="shared" si="89"/>
        <v>-9.5163462423049161</v>
      </c>
    </row>
    <row r="680" spans="1:12" x14ac:dyDescent="0.25">
      <c r="A680" s="3">
        <v>42316</v>
      </c>
      <c r="B680" s="3" t="str">
        <f t="shared" si="82"/>
        <v>Nov</v>
      </c>
      <c r="C680" s="3" t="str">
        <f t="shared" si="83"/>
        <v>2015</v>
      </c>
      <c r="D680" s="3" t="str">
        <f t="shared" si="84"/>
        <v>Sunday</v>
      </c>
      <c r="E680">
        <v>134136.72870000001</v>
      </c>
      <c r="F680">
        <v>140236.3033</v>
      </c>
      <c r="G680">
        <v>3640</v>
      </c>
      <c r="H680" s="1">
        <f t="shared" si="85"/>
        <v>36.850749642857146</v>
      </c>
      <c r="I680" s="1" t="str">
        <f t="shared" si="86"/>
        <v>Medium</v>
      </c>
      <c r="J680">
        <f t="shared" si="87"/>
        <v>-4.5472814635593481</v>
      </c>
      <c r="K680">
        <f t="shared" si="88"/>
        <v>38.526456950549452</v>
      </c>
      <c r="L680">
        <f t="shared" si="89"/>
        <v>-4.5472814635593499</v>
      </c>
    </row>
    <row r="681" spans="1:12" x14ac:dyDescent="0.25">
      <c r="A681" s="3">
        <v>42317</v>
      </c>
      <c r="B681" s="3" t="str">
        <f t="shared" si="82"/>
        <v>Nov</v>
      </c>
      <c r="C681" s="3" t="str">
        <f t="shared" si="83"/>
        <v>2015</v>
      </c>
      <c r="D681" s="3" t="str">
        <f t="shared" si="84"/>
        <v>Monday</v>
      </c>
      <c r="E681">
        <v>94243.465530000001</v>
      </c>
      <c r="F681">
        <v>89949.304170000003</v>
      </c>
      <c r="G681">
        <v>2338</v>
      </c>
      <c r="H681" s="1">
        <f t="shared" si="85"/>
        <v>40.309437780153978</v>
      </c>
      <c r="I681" s="1" t="str">
        <f t="shared" si="86"/>
        <v>Medium</v>
      </c>
      <c r="J681">
        <f t="shared" si="87"/>
        <v>4.5564552787302395</v>
      </c>
      <c r="K681">
        <f t="shared" si="88"/>
        <v>38.472756274593671</v>
      </c>
      <c r="L681">
        <f t="shared" si="89"/>
        <v>4.5564552787302386</v>
      </c>
    </row>
    <row r="682" spans="1:12" x14ac:dyDescent="0.25">
      <c r="A682" s="3">
        <v>42318</v>
      </c>
      <c r="B682" s="3" t="str">
        <f t="shared" si="82"/>
        <v>Nov</v>
      </c>
      <c r="C682" s="3" t="str">
        <f t="shared" si="83"/>
        <v>2015</v>
      </c>
      <c r="D682" s="3" t="str">
        <f t="shared" si="84"/>
        <v>Tuesday</v>
      </c>
      <c r="E682">
        <v>131436.1979</v>
      </c>
      <c r="F682">
        <v>143823.38639999999</v>
      </c>
      <c r="G682">
        <v>3744</v>
      </c>
      <c r="H682" s="1">
        <f t="shared" si="85"/>
        <v>35.105822088675211</v>
      </c>
      <c r="I682" s="1" t="str">
        <f t="shared" si="86"/>
        <v>Medium</v>
      </c>
      <c r="J682">
        <f t="shared" si="87"/>
        <v>-9.4244878487922144</v>
      </c>
      <c r="K682">
        <f t="shared" si="88"/>
        <v>38.414366025641023</v>
      </c>
      <c r="L682">
        <f t="shared" si="89"/>
        <v>-9.4244878487922232</v>
      </c>
    </row>
    <row r="683" spans="1:12" x14ac:dyDescent="0.25">
      <c r="A683" s="3">
        <v>42319</v>
      </c>
      <c r="B683" s="3" t="str">
        <f t="shared" si="82"/>
        <v>Nov</v>
      </c>
      <c r="C683" s="3" t="str">
        <f t="shared" si="83"/>
        <v>2015</v>
      </c>
      <c r="D683" s="3" t="str">
        <f t="shared" si="84"/>
        <v>Wednesday</v>
      </c>
      <c r="E683">
        <v>147893.94149999999</v>
      </c>
      <c r="F683">
        <v>161665.60060000001</v>
      </c>
      <c r="G683">
        <v>4216</v>
      </c>
      <c r="H683" s="1">
        <f t="shared" si="85"/>
        <v>35.079208135673618</v>
      </c>
      <c r="I683" s="1" t="str">
        <f t="shared" si="86"/>
        <v>Low</v>
      </c>
      <c r="J683">
        <f t="shared" si="87"/>
        <v>-9.3118480448369283</v>
      </c>
      <c r="K683">
        <f t="shared" si="88"/>
        <v>38.345730692599624</v>
      </c>
      <c r="L683">
        <f t="shared" si="89"/>
        <v>-9.3118480448369443</v>
      </c>
    </row>
    <row r="684" spans="1:12" x14ac:dyDescent="0.25">
      <c r="A684" s="3">
        <v>42320</v>
      </c>
      <c r="B684" s="3" t="str">
        <f t="shared" si="82"/>
        <v>Nov</v>
      </c>
      <c r="C684" s="3" t="str">
        <f t="shared" si="83"/>
        <v>2015</v>
      </c>
      <c r="D684" s="3" t="str">
        <f t="shared" si="84"/>
        <v>Thursday</v>
      </c>
      <c r="E684">
        <v>140238.39050000001</v>
      </c>
      <c r="F684">
        <v>153481.4534</v>
      </c>
      <c r="G684">
        <v>4000</v>
      </c>
      <c r="H684" s="1">
        <f t="shared" si="85"/>
        <v>35.059597625000002</v>
      </c>
      <c r="I684" s="1" t="str">
        <f t="shared" si="86"/>
        <v>Low</v>
      </c>
      <c r="J684">
        <f t="shared" si="87"/>
        <v>-9.4432507766124072</v>
      </c>
      <c r="K684">
        <f t="shared" si="88"/>
        <v>38.370363349999998</v>
      </c>
      <c r="L684">
        <f t="shared" si="89"/>
        <v>-9.4432507766124019</v>
      </c>
    </row>
    <row r="685" spans="1:12" x14ac:dyDescent="0.25">
      <c r="A685" s="3">
        <v>42321</v>
      </c>
      <c r="B685" s="3" t="str">
        <f t="shared" si="82"/>
        <v>Nov</v>
      </c>
      <c r="C685" s="3" t="str">
        <f t="shared" si="83"/>
        <v>2015</v>
      </c>
      <c r="D685" s="3" t="str">
        <f t="shared" si="84"/>
        <v>Friday</v>
      </c>
      <c r="E685">
        <v>358183.77399999998</v>
      </c>
      <c r="F685">
        <v>391310.32069999998</v>
      </c>
      <c r="G685">
        <v>10204</v>
      </c>
      <c r="H685" s="1">
        <f t="shared" si="85"/>
        <v>35.10229067032536</v>
      </c>
      <c r="I685" s="1" t="str">
        <f t="shared" si="86"/>
        <v>Low</v>
      </c>
      <c r="J685">
        <f t="shared" si="87"/>
        <v>-9.248477766053135</v>
      </c>
      <c r="K685">
        <f t="shared" si="88"/>
        <v>38.348718218345745</v>
      </c>
      <c r="L685">
        <f t="shared" si="89"/>
        <v>-9.248477766053135</v>
      </c>
    </row>
    <row r="686" spans="1:12" x14ac:dyDescent="0.25">
      <c r="A686" s="3">
        <v>42322</v>
      </c>
      <c r="B686" s="3" t="str">
        <f t="shared" si="82"/>
        <v>Nov</v>
      </c>
      <c r="C686" s="3" t="str">
        <f t="shared" si="83"/>
        <v>2015</v>
      </c>
      <c r="D686" s="3" t="str">
        <f t="shared" si="84"/>
        <v>Saturday</v>
      </c>
      <c r="E686">
        <v>377937.13870000001</v>
      </c>
      <c r="F686">
        <v>413010.22899999999</v>
      </c>
      <c r="G686">
        <v>10769</v>
      </c>
      <c r="H686" s="1">
        <f t="shared" si="85"/>
        <v>35.094914913176709</v>
      </c>
      <c r="I686" s="1" t="str">
        <f t="shared" si="86"/>
        <v>Low</v>
      </c>
      <c r="J686">
        <f t="shared" si="87"/>
        <v>-9.2801386020547714</v>
      </c>
      <c r="K686">
        <f t="shared" si="88"/>
        <v>38.351771659392703</v>
      </c>
      <c r="L686">
        <f t="shared" si="89"/>
        <v>-9.2801386020547891</v>
      </c>
    </row>
    <row r="687" spans="1:12" x14ac:dyDescent="0.25">
      <c r="A687" s="3">
        <v>42323</v>
      </c>
      <c r="B687" s="3" t="str">
        <f t="shared" si="82"/>
        <v>Nov</v>
      </c>
      <c r="C687" s="3" t="str">
        <f t="shared" si="83"/>
        <v>2015</v>
      </c>
      <c r="D687" s="3" t="str">
        <f t="shared" si="84"/>
        <v>Sunday</v>
      </c>
      <c r="E687">
        <v>168729.96239999999</v>
      </c>
      <c r="F687">
        <v>184673.48850000001</v>
      </c>
      <c r="G687">
        <v>4803</v>
      </c>
      <c r="H687" s="1">
        <f t="shared" si="85"/>
        <v>35.130119175515304</v>
      </c>
      <c r="I687" s="1" t="str">
        <f t="shared" si="86"/>
        <v>Medium</v>
      </c>
      <c r="J687">
        <f t="shared" si="87"/>
        <v>-9.4491374698486972</v>
      </c>
      <c r="K687">
        <f t="shared" si="88"/>
        <v>38.449612429731417</v>
      </c>
      <c r="L687">
        <f t="shared" si="89"/>
        <v>-9.4491374698486794</v>
      </c>
    </row>
    <row r="688" spans="1:12" x14ac:dyDescent="0.25">
      <c r="A688" s="3">
        <v>42324</v>
      </c>
      <c r="B688" s="3" t="str">
        <f t="shared" si="82"/>
        <v>Nov</v>
      </c>
      <c r="C688" s="3" t="str">
        <f t="shared" si="83"/>
        <v>2015</v>
      </c>
      <c r="D688" s="3" t="str">
        <f t="shared" si="84"/>
        <v>Monday</v>
      </c>
      <c r="E688">
        <v>177192.5698</v>
      </c>
      <c r="F688">
        <v>193615.30369999999</v>
      </c>
      <c r="G688">
        <v>5042</v>
      </c>
      <c r="H688" s="1">
        <f t="shared" si="85"/>
        <v>35.143310154700515</v>
      </c>
      <c r="I688" s="1" t="str">
        <f t="shared" si="86"/>
        <v>Medium</v>
      </c>
      <c r="J688">
        <f t="shared" si="87"/>
        <v>-9.2682971518143162</v>
      </c>
      <c r="K688">
        <f t="shared" si="88"/>
        <v>38.400496568821893</v>
      </c>
      <c r="L688">
        <f t="shared" si="89"/>
        <v>-9.2682971518143127</v>
      </c>
    </row>
    <row r="689" spans="1:12" x14ac:dyDescent="0.25">
      <c r="A689" s="3">
        <v>42325</v>
      </c>
      <c r="B689" s="3" t="str">
        <f t="shared" si="82"/>
        <v>Nov</v>
      </c>
      <c r="C689" s="3" t="str">
        <f t="shared" si="83"/>
        <v>2015</v>
      </c>
      <c r="D689" s="3" t="str">
        <f t="shared" si="84"/>
        <v>Tuesday</v>
      </c>
      <c r="E689">
        <v>152368.74909999999</v>
      </c>
      <c r="F689">
        <v>166625.36499999999</v>
      </c>
      <c r="G689">
        <v>4342</v>
      </c>
      <c r="H689" s="1">
        <f t="shared" si="85"/>
        <v>35.091835352372179</v>
      </c>
      <c r="I689" s="1" t="str">
        <f t="shared" si="86"/>
        <v>Low</v>
      </c>
      <c r="J689">
        <f t="shared" si="87"/>
        <v>-9.356653502906525</v>
      </c>
      <c r="K689">
        <f t="shared" si="88"/>
        <v>38.375256794104097</v>
      </c>
      <c r="L689">
        <f t="shared" si="89"/>
        <v>-9.3566535029065125</v>
      </c>
    </row>
    <row r="690" spans="1:12" x14ac:dyDescent="0.25">
      <c r="A690" s="3">
        <v>42326</v>
      </c>
      <c r="B690" s="3" t="str">
        <f t="shared" si="82"/>
        <v>Nov</v>
      </c>
      <c r="C690" s="3" t="str">
        <f t="shared" si="83"/>
        <v>2015</v>
      </c>
      <c r="D690" s="3" t="str">
        <f t="shared" si="84"/>
        <v>Wednesday</v>
      </c>
      <c r="E690">
        <v>147471.80489999999</v>
      </c>
      <c r="F690">
        <v>161402.91870000001</v>
      </c>
      <c r="G690">
        <v>4202</v>
      </c>
      <c r="H690" s="1">
        <f t="shared" si="85"/>
        <v>35.095622298905283</v>
      </c>
      <c r="I690" s="1" t="str">
        <f t="shared" si="86"/>
        <v>Low</v>
      </c>
      <c r="J690">
        <f t="shared" si="87"/>
        <v>-9.44662866874563</v>
      </c>
      <c r="K690">
        <f t="shared" si="88"/>
        <v>38.410975416468354</v>
      </c>
      <c r="L690">
        <f t="shared" si="89"/>
        <v>-9.44662866874563</v>
      </c>
    </row>
    <row r="691" spans="1:12" x14ac:dyDescent="0.25">
      <c r="A691" s="3">
        <v>42327</v>
      </c>
      <c r="B691" s="3" t="str">
        <f t="shared" si="82"/>
        <v>Nov</v>
      </c>
      <c r="C691" s="3" t="str">
        <f t="shared" si="83"/>
        <v>2015</v>
      </c>
      <c r="D691" s="3" t="str">
        <f t="shared" si="84"/>
        <v>Thursday</v>
      </c>
      <c r="E691">
        <v>145697.152</v>
      </c>
      <c r="F691">
        <v>159317.60939999999</v>
      </c>
      <c r="G691">
        <v>4151</v>
      </c>
      <c r="H691" s="1">
        <f t="shared" si="85"/>
        <v>35.099289809684414</v>
      </c>
      <c r="I691" s="1" t="str">
        <f t="shared" si="86"/>
        <v>Low</v>
      </c>
      <c r="J691">
        <f t="shared" si="87"/>
        <v>-9.3484719591498848</v>
      </c>
      <c r="K691">
        <f t="shared" si="88"/>
        <v>38.380537075403517</v>
      </c>
      <c r="L691">
        <f t="shared" si="89"/>
        <v>-9.3484719591498902</v>
      </c>
    </row>
    <row r="692" spans="1:12" x14ac:dyDescent="0.25">
      <c r="A692" s="3">
        <v>42328</v>
      </c>
      <c r="B692" s="3" t="str">
        <f t="shared" si="82"/>
        <v>Nov</v>
      </c>
      <c r="C692" s="3" t="str">
        <f t="shared" si="83"/>
        <v>2015</v>
      </c>
      <c r="D692" s="3" t="str">
        <f t="shared" si="84"/>
        <v>Friday</v>
      </c>
      <c r="E692">
        <v>301033.9865</v>
      </c>
      <c r="F692">
        <v>328965.1433</v>
      </c>
      <c r="G692">
        <v>8567</v>
      </c>
      <c r="H692" s="1">
        <f t="shared" si="85"/>
        <v>35.138786798179062</v>
      </c>
      <c r="I692" s="1" t="str">
        <f t="shared" si="86"/>
        <v>Medium</v>
      </c>
      <c r="J692">
        <f t="shared" si="87"/>
        <v>-9.2784064433203106</v>
      </c>
      <c r="K692">
        <f t="shared" si="88"/>
        <v>38.399106256565894</v>
      </c>
      <c r="L692">
        <f t="shared" si="89"/>
        <v>-9.2784064433203071</v>
      </c>
    </row>
    <row r="693" spans="1:12" x14ac:dyDescent="0.25">
      <c r="A693" s="3">
        <v>42329</v>
      </c>
      <c r="B693" s="3" t="str">
        <f t="shared" si="82"/>
        <v>Nov</v>
      </c>
      <c r="C693" s="3" t="str">
        <f t="shared" si="83"/>
        <v>2015</v>
      </c>
      <c r="D693" s="3" t="str">
        <f t="shared" si="84"/>
        <v>Saturday</v>
      </c>
      <c r="E693">
        <v>309518.07209999999</v>
      </c>
      <c r="F693">
        <v>338720.02360000001</v>
      </c>
      <c r="G693">
        <v>8811</v>
      </c>
      <c r="H693" s="1">
        <f t="shared" si="85"/>
        <v>35.128597446373853</v>
      </c>
      <c r="I693" s="1" t="str">
        <f t="shared" si="86"/>
        <v>Medium</v>
      </c>
      <c r="J693">
        <f t="shared" si="87"/>
        <v>-9.434651521919978</v>
      </c>
      <c r="K693">
        <f t="shared" si="88"/>
        <v>38.442858199977302</v>
      </c>
      <c r="L693">
        <f t="shared" si="89"/>
        <v>-9.4346515219199656</v>
      </c>
    </row>
    <row r="694" spans="1:12" x14ac:dyDescent="0.25">
      <c r="A694" s="3">
        <v>42330</v>
      </c>
      <c r="B694" s="3" t="str">
        <f t="shared" si="82"/>
        <v>Nov</v>
      </c>
      <c r="C694" s="3" t="str">
        <f t="shared" si="83"/>
        <v>2015</v>
      </c>
      <c r="D694" s="3" t="str">
        <f t="shared" si="84"/>
        <v>Sunday</v>
      </c>
      <c r="E694">
        <v>152504.6317</v>
      </c>
      <c r="F694">
        <v>167600.65090000001</v>
      </c>
      <c r="G694">
        <v>4345</v>
      </c>
      <c r="H694" s="1">
        <f t="shared" si="85"/>
        <v>35.098879562715766</v>
      </c>
      <c r="I694" s="1" t="str">
        <f t="shared" si="86"/>
        <v>Low</v>
      </c>
      <c r="J694">
        <f t="shared" si="87"/>
        <v>-9.8987283413766711</v>
      </c>
      <c r="K694">
        <f t="shared" si="88"/>
        <v>38.573222301495974</v>
      </c>
      <c r="L694">
        <f t="shared" si="89"/>
        <v>-9.8987283413766676</v>
      </c>
    </row>
    <row r="695" spans="1:12" x14ac:dyDescent="0.25">
      <c r="A695" s="3">
        <v>42331</v>
      </c>
      <c r="B695" s="3" t="str">
        <f t="shared" si="82"/>
        <v>Nov</v>
      </c>
      <c r="C695" s="3" t="str">
        <f t="shared" si="83"/>
        <v>2015</v>
      </c>
      <c r="D695" s="3" t="str">
        <f t="shared" si="84"/>
        <v>Monday</v>
      </c>
      <c r="E695">
        <v>79711.583410000007</v>
      </c>
      <c r="F695">
        <v>74375.788709999993</v>
      </c>
      <c r="G695">
        <v>1937</v>
      </c>
      <c r="H695" s="1">
        <f t="shared" si="85"/>
        <v>41.152082297367066</v>
      </c>
      <c r="I695" s="1" t="str">
        <f t="shared" si="86"/>
        <v>Medium</v>
      </c>
      <c r="J695">
        <f t="shared" si="87"/>
        <v>6.6938761867959897</v>
      </c>
      <c r="K695">
        <f t="shared" si="88"/>
        <v>38.397412860092921</v>
      </c>
      <c r="L695">
        <f t="shared" si="89"/>
        <v>6.6938761867959977</v>
      </c>
    </row>
    <row r="696" spans="1:12" x14ac:dyDescent="0.25">
      <c r="A696" s="3">
        <v>42332</v>
      </c>
      <c r="B696" s="3" t="str">
        <f t="shared" si="82"/>
        <v>Nov</v>
      </c>
      <c r="C696" s="3" t="str">
        <f t="shared" si="83"/>
        <v>2015</v>
      </c>
      <c r="D696" s="3" t="str">
        <f t="shared" si="84"/>
        <v>Tuesday</v>
      </c>
      <c r="E696">
        <v>111021.37910000001</v>
      </c>
      <c r="F696">
        <v>121456.524</v>
      </c>
      <c r="G696">
        <v>3160</v>
      </c>
      <c r="H696" s="1">
        <f t="shared" si="85"/>
        <v>35.133347816455696</v>
      </c>
      <c r="I696" s="1" t="str">
        <f t="shared" si="86"/>
        <v>Medium</v>
      </c>
      <c r="J696">
        <f t="shared" si="87"/>
        <v>-9.3992211091169917</v>
      </c>
      <c r="K696">
        <f t="shared" si="88"/>
        <v>38.435608860759494</v>
      </c>
      <c r="L696">
        <f t="shared" si="89"/>
        <v>-9.3992211091169917</v>
      </c>
    </row>
    <row r="697" spans="1:12" x14ac:dyDescent="0.25">
      <c r="A697" s="3">
        <v>42333</v>
      </c>
      <c r="B697" s="3" t="str">
        <f t="shared" si="82"/>
        <v>Nov</v>
      </c>
      <c r="C697" s="3" t="str">
        <f t="shared" si="83"/>
        <v>2015</v>
      </c>
      <c r="D697" s="3" t="str">
        <f t="shared" si="84"/>
        <v>Wednesday</v>
      </c>
      <c r="E697">
        <v>243161.2592</v>
      </c>
      <c r="F697">
        <v>266054.36989999999</v>
      </c>
      <c r="G697">
        <v>6924</v>
      </c>
      <c r="H697" s="1">
        <f t="shared" si="85"/>
        <v>35.118610514153666</v>
      </c>
      <c r="I697" s="1" t="str">
        <f t="shared" si="86"/>
        <v>Medium</v>
      </c>
      <c r="J697">
        <f t="shared" si="87"/>
        <v>-9.4147853878197019</v>
      </c>
      <c r="K697">
        <f t="shared" si="88"/>
        <v>38.424952325245521</v>
      </c>
      <c r="L697">
        <f t="shared" si="89"/>
        <v>-9.4147853878197072</v>
      </c>
    </row>
    <row r="698" spans="1:12" x14ac:dyDescent="0.25">
      <c r="A698" s="3">
        <v>42334</v>
      </c>
      <c r="B698" s="3" t="str">
        <f t="shared" si="82"/>
        <v>Nov</v>
      </c>
      <c r="C698" s="3" t="str">
        <f t="shared" si="83"/>
        <v>2015</v>
      </c>
      <c r="D698" s="3" t="str">
        <f t="shared" si="84"/>
        <v>Thursday</v>
      </c>
      <c r="E698">
        <v>311443.18119999999</v>
      </c>
      <c r="F698">
        <v>355343.87180000002</v>
      </c>
      <c r="G698">
        <v>9273</v>
      </c>
      <c r="H698" s="1">
        <f t="shared" si="85"/>
        <v>33.586021913080984</v>
      </c>
      <c r="I698" s="1" t="str">
        <f t="shared" si="86"/>
        <v>Low</v>
      </c>
      <c r="J698">
        <f t="shared" si="87"/>
        <v>-14.095890759543794</v>
      </c>
      <c r="K698">
        <f t="shared" si="88"/>
        <v>38.320270872425326</v>
      </c>
      <c r="L698">
        <f t="shared" si="89"/>
        <v>-14.095890759543812</v>
      </c>
    </row>
    <row r="699" spans="1:12" x14ac:dyDescent="0.25">
      <c r="A699" s="3">
        <v>42335</v>
      </c>
      <c r="B699" s="3" t="str">
        <f t="shared" si="82"/>
        <v>Nov</v>
      </c>
      <c r="C699" s="3" t="str">
        <f t="shared" si="83"/>
        <v>2015</v>
      </c>
      <c r="D699" s="3" t="str">
        <f t="shared" si="84"/>
        <v>Friday</v>
      </c>
      <c r="E699">
        <v>375876.0134</v>
      </c>
      <c r="F699">
        <v>431325.68670000002</v>
      </c>
      <c r="G699">
        <v>11257</v>
      </c>
      <c r="H699" s="1">
        <f t="shared" si="85"/>
        <v>33.390424926712271</v>
      </c>
      <c r="I699" s="1" t="str">
        <f t="shared" si="86"/>
        <v>Low</v>
      </c>
      <c r="J699">
        <f t="shared" si="87"/>
        <v>-14.752118071708809</v>
      </c>
      <c r="K699">
        <f t="shared" si="88"/>
        <v>38.316219836546153</v>
      </c>
      <c r="L699">
        <f t="shared" si="89"/>
        <v>-14.752118071708805</v>
      </c>
    </row>
    <row r="700" spans="1:12" x14ac:dyDescent="0.25">
      <c r="A700" s="3">
        <v>42336</v>
      </c>
      <c r="B700" s="3" t="str">
        <f t="shared" si="82"/>
        <v>Nov</v>
      </c>
      <c r="C700" s="3" t="str">
        <f t="shared" si="83"/>
        <v>2015</v>
      </c>
      <c r="D700" s="3" t="str">
        <f t="shared" si="84"/>
        <v>Saturday</v>
      </c>
      <c r="E700">
        <v>434639.65899999999</v>
      </c>
      <c r="F700">
        <v>498895.61859999999</v>
      </c>
      <c r="G700">
        <v>13019</v>
      </c>
      <c r="H700" s="1">
        <f t="shared" si="85"/>
        <v>33.385026422920347</v>
      </c>
      <c r="I700" s="1" t="str">
        <f t="shared" si="86"/>
        <v>Low</v>
      </c>
      <c r="J700">
        <f t="shared" si="87"/>
        <v>-14.783731366768812</v>
      </c>
      <c r="K700">
        <f t="shared" si="88"/>
        <v>38.320579046009676</v>
      </c>
      <c r="L700">
        <f t="shared" si="89"/>
        <v>-14.783731366768805</v>
      </c>
    </row>
    <row r="701" spans="1:12" x14ac:dyDescent="0.25">
      <c r="A701" s="3">
        <v>42337</v>
      </c>
      <c r="B701" s="3" t="str">
        <f t="shared" si="82"/>
        <v>Nov</v>
      </c>
      <c r="C701" s="3" t="str">
        <f t="shared" si="83"/>
        <v>2015</v>
      </c>
      <c r="D701" s="3" t="str">
        <f t="shared" si="84"/>
        <v>Sunday</v>
      </c>
      <c r="E701">
        <v>238637.81640000001</v>
      </c>
      <c r="F701">
        <v>274093.57799999998</v>
      </c>
      <c r="G701">
        <v>7139</v>
      </c>
      <c r="H701" s="1">
        <f t="shared" si="85"/>
        <v>33.427345062333664</v>
      </c>
      <c r="I701" s="1" t="str">
        <f t="shared" si="86"/>
        <v>Low</v>
      </c>
      <c r="J701">
        <f t="shared" si="87"/>
        <v>-14.857562030558357</v>
      </c>
      <c r="K701">
        <f t="shared" si="88"/>
        <v>38.393833590138669</v>
      </c>
      <c r="L701">
        <f t="shared" si="89"/>
        <v>-14.857562030558341</v>
      </c>
    </row>
    <row r="702" spans="1:12" x14ac:dyDescent="0.25">
      <c r="A702" s="3">
        <v>42338</v>
      </c>
      <c r="B702" s="3" t="str">
        <f t="shared" si="82"/>
        <v>Nov</v>
      </c>
      <c r="C702" s="3" t="str">
        <f t="shared" si="83"/>
        <v>2015</v>
      </c>
      <c r="D702" s="3" t="str">
        <f t="shared" si="84"/>
        <v>Monday</v>
      </c>
      <c r="E702">
        <v>260653.66699999999</v>
      </c>
      <c r="F702">
        <v>283981.1507</v>
      </c>
      <c r="G702">
        <v>7423</v>
      </c>
      <c r="H702" s="1">
        <f t="shared" si="85"/>
        <v>35.114329381651622</v>
      </c>
      <c r="I702" s="1" t="str">
        <f t="shared" si="86"/>
        <v>Low</v>
      </c>
      <c r="J702">
        <f t="shared" si="87"/>
        <v>-8.9496088693047291</v>
      </c>
      <c r="K702">
        <f t="shared" si="88"/>
        <v>38.256924518388793</v>
      </c>
      <c r="L702">
        <f t="shared" si="89"/>
        <v>-8.9496088693047309</v>
      </c>
    </row>
    <row r="703" spans="1:12" x14ac:dyDescent="0.25">
      <c r="A703" s="3">
        <v>42339</v>
      </c>
      <c r="B703" s="3" t="str">
        <f t="shared" si="82"/>
        <v>Dec</v>
      </c>
      <c r="C703" s="3" t="str">
        <f t="shared" si="83"/>
        <v>2015</v>
      </c>
      <c r="D703" s="3" t="str">
        <f t="shared" si="84"/>
        <v>Tuesday</v>
      </c>
      <c r="E703">
        <v>262394.78000000003</v>
      </c>
      <c r="F703">
        <v>285838.55680000002</v>
      </c>
      <c r="G703">
        <v>7474</v>
      </c>
      <c r="H703" s="1">
        <f t="shared" si="85"/>
        <v>35.107677281241642</v>
      </c>
      <c r="I703" s="1" t="str">
        <f t="shared" si="86"/>
        <v>Low</v>
      </c>
      <c r="J703">
        <f t="shared" si="87"/>
        <v>-8.9345438960332935</v>
      </c>
      <c r="K703">
        <f t="shared" si="88"/>
        <v>38.244388118811884</v>
      </c>
      <c r="L703">
        <f t="shared" si="89"/>
        <v>-8.9345438960332917</v>
      </c>
    </row>
    <row r="704" spans="1:12" x14ac:dyDescent="0.25">
      <c r="A704" s="3">
        <v>42340</v>
      </c>
      <c r="B704" s="3" t="str">
        <f t="shared" si="82"/>
        <v>Dec</v>
      </c>
      <c r="C704" s="3" t="str">
        <f t="shared" si="83"/>
        <v>2015</v>
      </c>
      <c r="D704" s="3" t="str">
        <f t="shared" si="84"/>
        <v>Wednesday</v>
      </c>
      <c r="E704">
        <v>248437.7113</v>
      </c>
      <c r="F704">
        <v>269807.62040000001</v>
      </c>
      <c r="G704">
        <v>7056</v>
      </c>
      <c r="H704" s="1">
        <f t="shared" si="85"/>
        <v>35.209426204648523</v>
      </c>
      <c r="I704" s="1" t="str">
        <f t="shared" si="86"/>
        <v>Medium</v>
      </c>
      <c r="J704">
        <f t="shared" si="87"/>
        <v>-8.6017171017144296</v>
      </c>
      <c r="K704">
        <f t="shared" si="88"/>
        <v>38.238041439909296</v>
      </c>
      <c r="L704">
        <f t="shared" si="89"/>
        <v>-8.6017171017144278</v>
      </c>
    </row>
    <row r="705" spans="1:12" x14ac:dyDescent="0.25">
      <c r="A705" s="3">
        <v>42341</v>
      </c>
      <c r="B705" s="3" t="str">
        <f t="shared" si="82"/>
        <v>Dec</v>
      </c>
      <c r="C705" s="3" t="str">
        <f t="shared" si="83"/>
        <v>2015</v>
      </c>
      <c r="D705" s="3" t="str">
        <f t="shared" si="84"/>
        <v>Thursday</v>
      </c>
      <c r="E705">
        <v>201048.83050000001</v>
      </c>
      <c r="F705">
        <v>219110.39319999999</v>
      </c>
      <c r="G705">
        <v>5732</v>
      </c>
      <c r="H705" s="1">
        <f t="shared" si="85"/>
        <v>35.074813415910675</v>
      </c>
      <c r="I705" s="1" t="str">
        <f t="shared" si="86"/>
        <v>Low</v>
      </c>
      <c r="J705">
        <f t="shared" si="87"/>
        <v>-8.9836696165213343</v>
      </c>
      <c r="K705">
        <f t="shared" si="88"/>
        <v>38.225818771807397</v>
      </c>
      <c r="L705">
        <f t="shared" si="89"/>
        <v>-8.9836696165213503</v>
      </c>
    </row>
    <row r="706" spans="1:12" x14ac:dyDescent="0.25">
      <c r="A706" s="3">
        <v>42342</v>
      </c>
      <c r="B706" s="3" t="str">
        <f t="shared" si="82"/>
        <v>Dec</v>
      </c>
      <c r="C706" s="3" t="str">
        <f t="shared" si="83"/>
        <v>2015</v>
      </c>
      <c r="D706" s="3" t="str">
        <f t="shared" si="84"/>
        <v>Friday</v>
      </c>
      <c r="E706">
        <v>317690.76089999999</v>
      </c>
      <c r="F706">
        <v>345449.52990000002</v>
      </c>
      <c r="G706">
        <v>9038</v>
      </c>
      <c r="H706" s="1">
        <f t="shared" si="85"/>
        <v>35.150559957955302</v>
      </c>
      <c r="I706" s="1" t="str">
        <f t="shared" si="86"/>
        <v>Medium</v>
      </c>
      <c r="J706">
        <f t="shared" si="87"/>
        <v>-8.7376695883005873</v>
      </c>
      <c r="K706">
        <f t="shared" si="88"/>
        <v>38.221899745518925</v>
      </c>
      <c r="L706">
        <f t="shared" si="89"/>
        <v>-8.7376695883005855</v>
      </c>
    </row>
    <row r="707" spans="1:12" x14ac:dyDescent="0.25">
      <c r="A707" s="3">
        <v>42343</v>
      </c>
      <c r="B707" s="3" t="str">
        <f t="shared" ref="B707:B770" si="90">TEXT(A707,"mmm")</f>
        <v>Dec</v>
      </c>
      <c r="C707" s="3" t="str">
        <f t="shared" ref="C707:C770" si="91">TEXT(A707,"yyyy")</f>
        <v>2015</v>
      </c>
      <c r="D707" s="3" t="str">
        <f t="shared" ref="D707:D770" si="92">TEXT(A707,"dddd")</f>
        <v>Saturday</v>
      </c>
      <c r="E707">
        <v>378527.8726</v>
      </c>
      <c r="F707">
        <v>410385.03700000001</v>
      </c>
      <c r="G707">
        <v>10737</v>
      </c>
      <c r="H707" s="1">
        <f t="shared" ref="H707:H770" si="93">E707/G707</f>
        <v>35.254528508894474</v>
      </c>
      <c r="I707" s="1" t="str">
        <f t="shared" ref="I707:I770" si="94">IF(H707&lt;PERCENTILE(H707:H1759,0.33),"Low", IF(H707&gt;PERCENTILE(H707:H1759,0.67),"High","Medium"))</f>
        <v>Medium</v>
      </c>
      <c r="J707">
        <f t="shared" ref="J707:J770" si="95">(E707-F707)/E707 *100</f>
        <v>-8.4160683283854976</v>
      </c>
      <c r="K707">
        <f t="shared" ref="K707:K770" si="96">F707/G707</f>
        <v>38.221573717053182</v>
      </c>
      <c r="L707">
        <f t="shared" ref="L707:L770" si="97">(H707-K707)/H707 *100</f>
        <v>-8.41606832838551</v>
      </c>
    </row>
    <row r="708" spans="1:12" x14ac:dyDescent="0.25">
      <c r="A708" s="3">
        <v>42344</v>
      </c>
      <c r="B708" s="3" t="str">
        <f t="shared" si="90"/>
        <v>Dec</v>
      </c>
      <c r="C708" s="3" t="str">
        <f t="shared" si="91"/>
        <v>2015</v>
      </c>
      <c r="D708" s="3" t="str">
        <f t="shared" si="92"/>
        <v>Sunday</v>
      </c>
      <c r="E708">
        <v>195425.39110000001</v>
      </c>
      <c r="F708">
        <v>210461.38620000001</v>
      </c>
      <c r="G708">
        <v>5505</v>
      </c>
      <c r="H708" s="1">
        <f t="shared" si="93"/>
        <v>35.499616911898279</v>
      </c>
      <c r="I708" s="1" t="str">
        <f t="shared" si="94"/>
        <v>Medium</v>
      </c>
      <c r="J708">
        <f t="shared" si="95"/>
        <v>-7.6939823506895362</v>
      </c>
      <c r="K708">
        <f t="shared" si="96"/>
        <v>38.230951171662127</v>
      </c>
      <c r="L708">
        <f t="shared" si="97"/>
        <v>-7.6939823506895264</v>
      </c>
    </row>
    <row r="709" spans="1:12" x14ac:dyDescent="0.25">
      <c r="A709" s="3">
        <v>42345</v>
      </c>
      <c r="B709" s="3" t="str">
        <f t="shared" si="90"/>
        <v>Dec</v>
      </c>
      <c r="C709" s="3" t="str">
        <f t="shared" si="91"/>
        <v>2015</v>
      </c>
      <c r="D709" s="3" t="str">
        <f t="shared" si="92"/>
        <v>Monday</v>
      </c>
      <c r="E709">
        <v>90441.603369999997</v>
      </c>
      <c r="F709">
        <v>83999.591249999998</v>
      </c>
      <c r="G709">
        <v>2198</v>
      </c>
      <c r="H709" s="1">
        <f t="shared" si="93"/>
        <v>41.147226282984533</v>
      </c>
      <c r="I709" s="1" t="str">
        <f t="shared" si="94"/>
        <v>Medium</v>
      </c>
      <c r="J709">
        <f t="shared" si="95"/>
        <v>7.1228415684377975</v>
      </c>
      <c r="K709">
        <f t="shared" si="96"/>
        <v>38.216374545040942</v>
      </c>
      <c r="L709">
        <f t="shared" si="97"/>
        <v>7.1228415684378126</v>
      </c>
    </row>
    <row r="710" spans="1:12" x14ac:dyDescent="0.25">
      <c r="A710" s="3">
        <v>42346</v>
      </c>
      <c r="B710" s="3" t="str">
        <f t="shared" si="90"/>
        <v>Dec</v>
      </c>
      <c r="C710" s="3" t="str">
        <f t="shared" si="91"/>
        <v>2015</v>
      </c>
      <c r="D710" s="3" t="str">
        <f t="shared" si="92"/>
        <v>Tuesday</v>
      </c>
      <c r="E710">
        <v>117649.0006</v>
      </c>
      <c r="F710">
        <v>121640.3798</v>
      </c>
      <c r="G710">
        <v>3190</v>
      </c>
      <c r="H710" s="1">
        <f t="shared" si="93"/>
        <v>36.880564451410656</v>
      </c>
      <c r="I710" s="1" t="str">
        <f t="shared" si="94"/>
        <v>Medium</v>
      </c>
      <c r="J710">
        <f t="shared" si="95"/>
        <v>-3.3926163245282983</v>
      </c>
      <c r="K710">
        <f t="shared" si="96"/>
        <v>38.131780501567398</v>
      </c>
      <c r="L710">
        <f t="shared" si="97"/>
        <v>-3.392616324528309</v>
      </c>
    </row>
    <row r="711" spans="1:12" x14ac:dyDescent="0.25">
      <c r="A711" s="3">
        <v>42347</v>
      </c>
      <c r="B711" s="3" t="str">
        <f t="shared" si="90"/>
        <v>Dec</v>
      </c>
      <c r="C711" s="3" t="str">
        <f t="shared" si="91"/>
        <v>2015</v>
      </c>
      <c r="D711" s="3" t="str">
        <f t="shared" si="92"/>
        <v>Wednesday</v>
      </c>
      <c r="E711">
        <v>141285.39550000001</v>
      </c>
      <c r="F711">
        <v>145443.0466</v>
      </c>
      <c r="G711">
        <v>3814</v>
      </c>
      <c r="H711" s="1">
        <f t="shared" si="93"/>
        <v>37.043889748295754</v>
      </c>
      <c r="I711" s="1" t="str">
        <f t="shared" si="94"/>
        <v>Medium</v>
      </c>
      <c r="J711">
        <f t="shared" si="95"/>
        <v>-2.9427323930306639</v>
      </c>
      <c r="K711">
        <f t="shared" si="96"/>
        <v>38.133992291557419</v>
      </c>
      <c r="L711">
        <f t="shared" si="97"/>
        <v>-2.9427323930306652</v>
      </c>
    </row>
    <row r="712" spans="1:12" x14ac:dyDescent="0.25">
      <c r="A712" s="3">
        <v>42348</v>
      </c>
      <c r="B712" s="3" t="str">
        <f t="shared" si="90"/>
        <v>Dec</v>
      </c>
      <c r="C712" s="3" t="str">
        <f t="shared" si="91"/>
        <v>2015</v>
      </c>
      <c r="D712" s="3" t="str">
        <f t="shared" si="92"/>
        <v>Thursday</v>
      </c>
      <c r="E712">
        <v>133183.6937</v>
      </c>
      <c r="F712">
        <v>137725.87609999999</v>
      </c>
      <c r="G712">
        <v>3610</v>
      </c>
      <c r="H712" s="1">
        <f t="shared" si="93"/>
        <v>36.892989944598341</v>
      </c>
      <c r="I712" s="1" t="str">
        <f t="shared" si="94"/>
        <v>Medium</v>
      </c>
      <c r="J712">
        <f t="shared" si="95"/>
        <v>-3.4104643547665701</v>
      </c>
      <c r="K712">
        <f t="shared" si="96"/>
        <v>38.151212216066483</v>
      </c>
      <c r="L712">
        <f t="shared" si="97"/>
        <v>-3.4104643547665723</v>
      </c>
    </row>
    <row r="713" spans="1:12" x14ac:dyDescent="0.25">
      <c r="A713" s="3">
        <v>42349</v>
      </c>
      <c r="B713" s="3" t="str">
        <f t="shared" si="90"/>
        <v>Dec</v>
      </c>
      <c r="C713" s="3" t="str">
        <f t="shared" si="91"/>
        <v>2015</v>
      </c>
      <c r="D713" s="3" t="str">
        <f t="shared" si="92"/>
        <v>Friday</v>
      </c>
      <c r="E713">
        <v>229672.25630000001</v>
      </c>
      <c r="F713">
        <v>237672.01639999999</v>
      </c>
      <c r="G713">
        <v>6227</v>
      </c>
      <c r="H713" s="1">
        <f t="shared" si="93"/>
        <v>36.883291520796533</v>
      </c>
      <c r="I713" s="1" t="str">
        <f t="shared" si="94"/>
        <v>Medium</v>
      </c>
      <c r="J713">
        <f t="shared" si="95"/>
        <v>-3.483119915690045</v>
      </c>
      <c r="K713">
        <f t="shared" si="96"/>
        <v>38.167980793319416</v>
      </c>
      <c r="L713">
        <f t="shared" si="97"/>
        <v>-3.4831199156900481</v>
      </c>
    </row>
    <row r="714" spans="1:12" x14ac:dyDescent="0.25">
      <c r="A714" s="3">
        <v>42350</v>
      </c>
      <c r="B714" s="3" t="str">
        <f t="shared" si="90"/>
        <v>Dec</v>
      </c>
      <c r="C714" s="3" t="str">
        <f t="shared" si="91"/>
        <v>2015</v>
      </c>
      <c r="D714" s="3" t="str">
        <f t="shared" si="92"/>
        <v>Saturday</v>
      </c>
      <c r="E714">
        <v>333488.79790000001</v>
      </c>
      <c r="F714">
        <v>359621.07490000001</v>
      </c>
      <c r="G714">
        <v>9422</v>
      </c>
      <c r="H714" s="1">
        <f t="shared" si="93"/>
        <v>35.394693048185097</v>
      </c>
      <c r="I714" s="1" t="str">
        <f t="shared" si="94"/>
        <v>Medium</v>
      </c>
      <c r="J714">
        <f t="shared" si="95"/>
        <v>-7.8360284257092294</v>
      </c>
      <c r="K714">
        <f t="shared" si="96"/>
        <v>38.168231256633412</v>
      </c>
      <c r="L714">
        <f t="shared" si="97"/>
        <v>-7.8360284257092347</v>
      </c>
    </row>
    <row r="715" spans="1:12" x14ac:dyDescent="0.25">
      <c r="A715" s="3">
        <v>42351</v>
      </c>
      <c r="B715" s="3" t="str">
        <f t="shared" si="90"/>
        <v>Dec</v>
      </c>
      <c r="C715" s="3" t="str">
        <f t="shared" si="91"/>
        <v>2015</v>
      </c>
      <c r="D715" s="3" t="str">
        <f t="shared" si="92"/>
        <v>Sunday</v>
      </c>
      <c r="E715">
        <v>185422.88560000001</v>
      </c>
      <c r="F715">
        <v>191390.4013</v>
      </c>
      <c r="G715">
        <v>5014</v>
      </c>
      <c r="H715" s="1">
        <f t="shared" si="93"/>
        <v>36.981030235341045</v>
      </c>
      <c r="I715" s="1" t="str">
        <f t="shared" si="94"/>
        <v>Medium</v>
      </c>
      <c r="J715">
        <f t="shared" si="95"/>
        <v>-3.2183274899913372</v>
      </c>
      <c r="K715">
        <f t="shared" si="96"/>
        <v>38.171200897487033</v>
      </c>
      <c r="L715">
        <f t="shared" si="97"/>
        <v>-3.2183274899913341</v>
      </c>
    </row>
    <row r="716" spans="1:12" x14ac:dyDescent="0.25">
      <c r="A716" s="3">
        <v>42352</v>
      </c>
      <c r="B716" s="3" t="str">
        <f t="shared" si="90"/>
        <v>Dec</v>
      </c>
      <c r="C716" s="3" t="str">
        <f t="shared" si="91"/>
        <v>2015</v>
      </c>
      <c r="D716" s="3" t="str">
        <f t="shared" si="92"/>
        <v>Monday</v>
      </c>
      <c r="E716">
        <v>173833.13320000001</v>
      </c>
      <c r="F716">
        <v>179871.0533</v>
      </c>
      <c r="G716">
        <v>4715</v>
      </c>
      <c r="H716" s="1">
        <f t="shared" si="93"/>
        <v>36.868108844114531</v>
      </c>
      <c r="I716" s="1" t="str">
        <f t="shared" si="94"/>
        <v>Medium</v>
      </c>
      <c r="J716">
        <f t="shared" si="95"/>
        <v>-3.4734000295865277</v>
      </c>
      <c r="K716">
        <f t="shared" si="96"/>
        <v>38.148685747613996</v>
      </c>
      <c r="L716">
        <f t="shared" si="97"/>
        <v>-3.4734000295865224</v>
      </c>
    </row>
    <row r="717" spans="1:12" x14ac:dyDescent="0.25">
      <c r="A717" s="3">
        <v>42353</v>
      </c>
      <c r="B717" s="3" t="str">
        <f t="shared" si="90"/>
        <v>Dec</v>
      </c>
      <c r="C717" s="3" t="str">
        <f t="shared" si="91"/>
        <v>2015</v>
      </c>
      <c r="D717" s="3" t="str">
        <f t="shared" si="92"/>
        <v>Tuesday</v>
      </c>
      <c r="E717">
        <v>220271.72140000001</v>
      </c>
      <c r="F717">
        <v>237123.34330000001</v>
      </c>
      <c r="G717">
        <v>6212</v>
      </c>
      <c r="H717" s="1">
        <f t="shared" si="93"/>
        <v>35.459066548615581</v>
      </c>
      <c r="I717" s="1" t="str">
        <f t="shared" si="94"/>
        <v>Medium</v>
      </c>
      <c r="J717">
        <f t="shared" si="95"/>
        <v>-7.6503791739106086</v>
      </c>
      <c r="K717">
        <f t="shared" si="96"/>
        <v>38.171819591113973</v>
      </c>
      <c r="L717">
        <f t="shared" si="97"/>
        <v>-7.650379173910614</v>
      </c>
    </row>
    <row r="718" spans="1:12" x14ac:dyDescent="0.25">
      <c r="A718" s="3">
        <v>42354</v>
      </c>
      <c r="B718" s="3" t="str">
        <f t="shared" si="90"/>
        <v>Dec</v>
      </c>
      <c r="C718" s="3" t="str">
        <f t="shared" si="91"/>
        <v>2015</v>
      </c>
      <c r="D718" s="3" t="str">
        <f t="shared" si="92"/>
        <v>Wednesday</v>
      </c>
      <c r="E718">
        <v>234468.07120000001</v>
      </c>
      <c r="F718">
        <v>251493.90890000001</v>
      </c>
      <c r="G718">
        <v>6585</v>
      </c>
      <c r="H718" s="1">
        <f t="shared" si="93"/>
        <v>35.606388944570995</v>
      </c>
      <c r="I718" s="1" t="str">
        <f t="shared" si="94"/>
        <v>Medium</v>
      </c>
      <c r="J718">
        <f t="shared" si="95"/>
        <v>-7.2614738599001205</v>
      </c>
      <c r="K718">
        <f t="shared" si="96"/>
        <v>38.191937570235382</v>
      </c>
      <c r="L718">
        <f t="shared" si="97"/>
        <v>-7.2614738599001152</v>
      </c>
    </row>
    <row r="719" spans="1:12" x14ac:dyDescent="0.25">
      <c r="A719" s="3">
        <v>42355</v>
      </c>
      <c r="B719" s="3" t="str">
        <f t="shared" si="90"/>
        <v>Dec</v>
      </c>
      <c r="C719" s="3" t="str">
        <f t="shared" si="91"/>
        <v>2015</v>
      </c>
      <c r="D719" s="3" t="str">
        <f t="shared" si="92"/>
        <v>Thursday</v>
      </c>
      <c r="E719">
        <v>213778.13810000001</v>
      </c>
      <c r="F719">
        <v>230994.35519999999</v>
      </c>
      <c r="G719">
        <v>6051</v>
      </c>
      <c r="H719" s="1">
        <f t="shared" si="93"/>
        <v>35.329389869443069</v>
      </c>
      <c r="I719" s="1" t="str">
        <f t="shared" si="94"/>
        <v>Medium</v>
      </c>
      <c r="J719">
        <f t="shared" si="95"/>
        <v>-8.0533104334301324</v>
      </c>
      <c r="K719">
        <f t="shared" si="96"/>
        <v>38.174575309866135</v>
      </c>
      <c r="L719">
        <f t="shared" si="97"/>
        <v>-8.0533104334301289</v>
      </c>
    </row>
    <row r="720" spans="1:12" x14ac:dyDescent="0.25">
      <c r="A720" s="3">
        <v>42356</v>
      </c>
      <c r="B720" s="3" t="str">
        <f t="shared" si="90"/>
        <v>Dec</v>
      </c>
      <c r="C720" s="3" t="str">
        <f t="shared" si="91"/>
        <v>2015</v>
      </c>
      <c r="D720" s="3" t="str">
        <f t="shared" si="92"/>
        <v>Friday</v>
      </c>
      <c r="E720">
        <v>273563.0148</v>
      </c>
      <c r="F720">
        <v>295854.55229999998</v>
      </c>
      <c r="G720">
        <v>7750</v>
      </c>
      <c r="H720" s="1">
        <f t="shared" si="93"/>
        <v>35.298453522580644</v>
      </c>
      <c r="I720" s="1" t="str">
        <f t="shared" si="94"/>
        <v>Medium</v>
      </c>
      <c r="J720">
        <f t="shared" si="95"/>
        <v>-8.1485933017287309</v>
      </c>
      <c r="K720">
        <f t="shared" si="96"/>
        <v>38.174780941935481</v>
      </c>
      <c r="L720">
        <f t="shared" si="97"/>
        <v>-8.1485933017287344</v>
      </c>
    </row>
    <row r="721" spans="1:12" x14ac:dyDescent="0.25">
      <c r="A721" s="3">
        <v>42357</v>
      </c>
      <c r="B721" s="3" t="str">
        <f t="shared" si="90"/>
        <v>Dec</v>
      </c>
      <c r="C721" s="3" t="str">
        <f t="shared" si="91"/>
        <v>2015</v>
      </c>
      <c r="D721" s="3" t="str">
        <f t="shared" si="92"/>
        <v>Saturday</v>
      </c>
      <c r="E721">
        <v>337506.78840000002</v>
      </c>
      <c r="F721">
        <v>362223.16090000002</v>
      </c>
      <c r="G721">
        <v>9490</v>
      </c>
      <c r="H721" s="1">
        <f t="shared" si="93"/>
        <v>35.564466638566913</v>
      </c>
      <c r="I721" s="1" t="str">
        <f t="shared" si="94"/>
        <v>Medium</v>
      </c>
      <c r="J721">
        <f t="shared" si="95"/>
        <v>-7.3232223319630263</v>
      </c>
      <c r="K721">
        <f t="shared" si="96"/>
        <v>38.168931601685991</v>
      </c>
      <c r="L721">
        <f t="shared" si="97"/>
        <v>-7.3232223319630414</v>
      </c>
    </row>
    <row r="722" spans="1:12" x14ac:dyDescent="0.25">
      <c r="A722" s="3">
        <v>42358</v>
      </c>
      <c r="B722" s="3" t="str">
        <f t="shared" si="90"/>
        <v>Dec</v>
      </c>
      <c r="C722" s="3" t="str">
        <f t="shared" si="91"/>
        <v>2015</v>
      </c>
      <c r="D722" s="3" t="str">
        <f t="shared" si="92"/>
        <v>Sunday</v>
      </c>
      <c r="E722">
        <v>155312.78390000001</v>
      </c>
      <c r="F722">
        <v>167421.9737</v>
      </c>
      <c r="G722">
        <v>4382</v>
      </c>
      <c r="H722" s="1">
        <f t="shared" si="93"/>
        <v>35.443355522592427</v>
      </c>
      <c r="I722" s="1" t="str">
        <f t="shared" si="94"/>
        <v>Medium</v>
      </c>
      <c r="J722">
        <f t="shared" si="95"/>
        <v>-7.7966471889375448</v>
      </c>
      <c r="K722">
        <f t="shared" si="96"/>
        <v>38.206748904609768</v>
      </c>
      <c r="L722">
        <f t="shared" si="97"/>
        <v>-7.7966471889375404</v>
      </c>
    </row>
    <row r="723" spans="1:12" x14ac:dyDescent="0.25">
      <c r="A723" s="3">
        <v>42359</v>
      </c>
      <c r="B723" s="3" t="str">
        <f t="shared" si="90"/>
        <v>Dec</v>
      </c>
      <c r="C723" s="3" t="str">
        <f t="shared" si="91"/>
        <v>2015</v>
      </c>
      <c r="D723" s="3" t="str">
        <f t="shared" si="92"/>
        <v>Monday</v>
      </c>
      <c r="E723">
        <v>289243.38309999998</v>
      </c>
      <c r="F723">
        <v>312784.9743</v>
      </c>
      <c r="G723">
        <v>8196</v>
      </c>
      <c r="H723" s="1">
        <f t="shared" si="93"/>
        <v>35.290798328452901</v>
      </c>
      <c r="I723" s="1" t="str">
        <f t="shared" si="94"/>
        <v>Medium</v>
      </c>
      <c r="J723">
        <f t="shared" si="95"/>
        <v>-8.1390249787878464</v>
      </c>
      <c r="K723">
        <f t="shared" si="96"/>
        <v>38.163125219619324</v>
      </c>
      <c r="L723">
        <f t="shared" si="97"/>
        <v>-8.139024978787841</v>
      </c>
    </row>
    <row r="724" spans="1:12" x14ac:dyDescent="0.25">
      <c r="A724" s="3">
        <v>42360</v>
      </c>
      <c r="B724" s="3" t="str">
        <f t="shared" si="90"/>
        <v>Dec</v>
      </c>
      <c r="C724" s="3" t="str">
        <f t="shared" si="91"/>
        <v>2015</v>
      </c>
      <c r="D724" s="3" t="str">
        <f t="shared" si="92"/>
        <v>Tuesday</v>
      </c>
      <c r="E724">
        <v>313125.33250000002</v>
      </c>
      <c r="F724">
        <v>338299.61780000001</v>
      </c>
      <c r="G724">
        <v>8863</v>
      </c>
      <c r="H724" s="1">
        <f t="shared" si="93"/>
        <v>35.329497066456057</v>
      </c>
      <c r="I724" s="1" t="str">
        <f t="shared" si="94"/>
        <v>Medium</v>
      </c>
      <c r="J724">
        <f t="shared" si="95"/>
        <v>-8.0396833750268311</v>
      </c>
      <c r="K724">
        <f t="shared" si="96"/>
        <v>38.169876768588516</v>
      </c>
      <c r="L724">
        <f t="shared" si="97"/>
        <v>-8.0396833750268311</v>
      </c>
    </row>
    <row r="725" spans="1:12" x14ac:dyDescent="0.25">
      <c r="A725" s="3">
        <v>42361</v>
      </c>
      <c r="B725" s="3" t="str">
        <f t="shared" si="90"/>
        <v>Dec</v>
      </c>
      <c r="C725" s="3" t="str">
        <f t="shared" si="91"/>
        <v>2015</v>
      </c>
      <c r="D725" s="3" t="str">
        <f t="shared" si="92"/>
        <v>Wednesday</v>
      </c>
      <c r="E725">
        <v>268330.39270000003</v>
      </c>
      <c r="F725">
        <v>249584.21520000001</v>
      </c>
      <c r="G725">
        <v>6534</v>
      </c>
      <c r="H725" s="1">
        <f t="shared" si="93"/>
        <v>41.06678798591981</v>
      </c>
      <c r="I725" s="1" t="str">
        <f t="shared" si="94"/>
        <v>Medium</v>
      </c>
      <c r="J725">
        <f t="shared" si="95"/>
        <v>6.9862296668565262</v>
      </c>
      <c r="K725">
        <f t="shared" si="96"/>
        <v>38.19776786042241</v>
      </c>
      <c r="L725">
        <f t="shared" si="97"/>
        <v>6.9862296668565218</v>
      </c>
    </row>
    <row r="726" spans="1:12" x14ac:dyDescent="0.25">
      <c r="A726" s="3">
        <v>42362</v>
      </c>
      <c r="B726" s="3" t="str">
        <f t="shared" si="90"/>
        <v>Dec</v>
      </c>
      <c r="C726" s="3" t="str">
        <f t="shared" si="91"/>
        <v>2015</v>
      </c>
      <c r="D726" s="3" t="str">
        <f t="shared" si="92"/>
        <v>Thursday</v>
      </c>
      <c r="E726">
        <v>392228.13799999998</v>
      </c>
      <c r="F726">
        <v>364396.19420000003</v>
      </c>
      <c r="G726">
        <v>9540</v>
      </c>
      <c r="H726" s="1">
        <f t="shared" si="93"/>
        <v>41.114060587002093</v>
      </c>
      <c r="I726" s="1" t="str">
        <f t="shared" si="94"/>
        <v>Medium</v>
      </c>
      <c r="J726">
        <f t="shared" si="95"/>
        <v>7.0958559836928252</v>
      </c>
      <c r="K726">
        <f t="shared" si="96"/>
        <v>38.19666605870021</v>
      </c>
      <c r="L726">
        <f t="shared" si="97"/>
        <v>7.0958559836928305</v>
      </c>
    </row>
    <row r="727" spans="1:12" x14ac:dyDescent="0.25">
      <c r="A727" s="3">
        <v>42363</v>
      </c>
      <c r="B727" s="3" t="str">
        <f t="shared" si="90"/>
        <v>Dec</v>
      </c>
      <c r="C727" s="3" t="str">
        <f t="shared" si="91"/>
        <v>2015</v>
      </c>
      <c r="D727" s="3" t="str">
        <f t="shared" si="92"/>
        <v>Friday</v>
      </c>
      <c r="E727">
        <v>133728.98370000001</v>
      </c>
      <c r="F727">
        <v>124363.5573</v>
      </c>
      <c r="G727">
        <v>3256</v>
      </c>
      <c r="H727" s="1">
        <f t="shared" si="93"/>
        <v>41.071555190417691</v>
      </c>
      <c r="I727" s="1" t="str">
        <f t="shared" si="94"/>
        <v>Medium</v>
      </c>
      <c r="J727">
        <f t="shared" si="95"/>
        <v>7.0032883978314491</v>
      </c>
      <c r="K727">
        <f t="shared" si="96"/>
        <v>38.195195730958233</v>
      </c>
      <c r="L727">
        <f t="shared" si="97"/>
        <v>7.0032883978314375</v>
      </c>
    </row>
    <row r="728" spans="1:12" x14ac:dyDescent="0.25">
      <c r="A728" s="3">
        <v>42364</v>
      </c>
      <c r="B728" s="3" t="str">
        <f t="shared" si="90"/>
        <v>Dec</v>
      </c>
      <c r="C728" s="3" t="str">
        <f t="shared" si="91"/>
        <v>2015</v>
      </c>
      <c r="D728" s="3" t="str">
        <f t="shared" si="92"/>
        <v>Saturday</v>
      </c>
      <c r="E728">
        <v>82778.444050000006</v>
      </c>
      <c r="F728">
        <v>76876.492700000003</v>
      </c>
      <c r="G728">
        <v>2013</v>
      </c>
      <c r="H728" s="1">
        <f t="shared" si="93"/>
        <v>41.121929483358173</v>
      </c>
      <c r="I728" s="1" t="str">
        <f t="shared" si="94"/>
        <v>Medium</v>
      </c>
      <c r="J728">
        <f t="shared" si="95"/>
        <v>7.1298167267254922</v>
      </c>
      <c r="K728">
        <f t="shared" si="96"/>
        <v>38.190011276701441</v>
      </c>
      <c r="L728">
        <f t="shared" si="97"/>
        <v>7.1298167267254904</v>
      </c>
    </row>
    <row r="729" spans="1:12" x14ac:dyDescent="0.25">
      <c r="A729" s="3">
        <v>42365</v>
      </c>
      <c r="B729" s="3" t="str">
        <f t="shared" si="90"/>
        <v>Dec</v>
      </c>
      <c r="C729" s="3" t="str">
        <f t="shared" si="91"/>
        <v>2015</v>
      </c>
      <c r="D729" s="3" t="str">
        <f t="shared" si="92"/>
        <v>Sunday</v>
      </c>
      <c r="E729">
        <v>69522.836970000004</v>
      </c>
      <c r="F729">
        <v>64616.076650000003</v>
      </c>
      <c r="G729">
        <v>1692</v>
      </c>
      <c r="H729" s="1">
        <f t="shared" si="93"/>
        <v>41.089147145390072</v>
      </c>
      <c r="I729" s="1" t="str">
        <f t="shared" si="94"/>
        <v>Medium</v>
      </c>
      <c r="J729">
        <f t="shared" si="95"/>
        <v>7.0577676830382101</v>
      </c>
      <c r="K729">
        <f t="shared" si="96"/>
        <v>38.189170596926715</v>
      </c>
      <c r="L729">
        <f t="shared" si="97"/>
        <v>7.0577676830382092</v>
      </c>
    </row>
    <row r="730" spans="1:12" x14ac:dyDescent="0.25">
      <c r="A730" s="3">
        <v>42366</v>
      </c>
      <c r="B730" s="3" t="str">
        <f t="shared" si="90"/>
        <v>Dec</v>
      </c>
      <c r="C730" s="3" t="str">
        <f t="shared" si="91"/>
        <v>2015</v>
      </c>
      <c r="D730" s="3" t="str">
        <f t="shared" si="92"/>
        <v>Monday</v>
      </c>
      <c r="E730">
        <v>133021.27280000001</v>
      </c>
      <c r="F730">
        <v>123500.78780000001</v>
      </c>
      <c r="G730">
        <v>3234</v>
      </c>
      <c r="H730" s="1">
        <f t="shared" si="93"/>
        <v>41.132118985776131</v>
      </c>
      <c r="I730" s="1" t="str">
        <f t="shared" si="94"/>
        <v>Medium</v>
      </c>
      <c r="J730">
        <f t="shared" si="95"/>
        <v>7.1571146476054466</v>
      </c>
      <c r="K730">
        <f t="shared" si="96"/>
        <v>38.188246072974643</v>
      </c>
      <c r="L730">
        <f t="shared" si="97"/>
        <v>7.1571146476054555</v>
      </c>
    </row>
    <row r="731" spans="1:12" x14ac:dyDescent="0.25">
      <c r="A731" s="3">
        <v>42367</v>
      </c>
      <c r="B731" s="3" t="str">
        <f t="shared" si="90"/>
        <v>Dec</v>
      </c>
      <c r="C731" s="3" t="str">
        <f t="shared" si="91"/>
        <v>2015</v>
      </c>
      <c r="D731" s="3" t="str">
        <f t="shared" si="92"/>
        <v>Tuesday</v>
      </c>
      <c r="E731">
        <v>161267.52059999999</v>
      </c>
      <c r="F731">
        <v>175378.1459</v>
      </c>
      <c r="G731">
        <v>4592</v>
      </c>
      <c r="H731" s="1">
        <f t="shared" si="93"/>
        <v>35.119233580139372</v>
      </c>
      <c r="I731" s="1" t="str">
        <f t="shared" si="94"/>
        <v>Medium</v>
      </c>
      <c r="J731">
        <f t="shared" si="95"/>
        <v>-8.7498246686630186</v>
      </c>
      <c r="K731">
        <f t="shared" si="96"/>
        <v>38.192104943379789</v>
      </c>
      <c r="L731">
        <f t="shared" si="97"/>
        <v>-8.7498246686630043</v>
      </c>
    </row>
    <row r="732" spans="1:12" x14ac:dyDescent="0.25">
      <c r="A732" s="3">
        <v>42368</v>
      </c>
      <c r="B732" s="3" t="str">
        <f t="shared" si="90"/>
        <v>Dec</v>
      </c>
      <c r="C732" s="3" t="str">
        <f t="shared" si="91"/>
        <v>2015</v>
      </c>
      <c r="D732" s="3" t="str">
        <f t="shared" si="92"/>
        <v>Wednesday</v>
      </c>
      <c r="E732">
        <v>208583.21799999999</v>
      </c>
      <c r="F732">
        <v>227060.26269999999</v>
      </c>
      <c r="G732">
        <v>5945</v>
      </c>
      <c r="H732" s="1">
        <f t="shared" si="93"/>
        <v>35.085486627418</v>
      </c>
      <c r="I732" s="1" t="str">
        <f t="shared" si="94"/>
        <v>Low</v>
      </c>
      <c r="J732">
        <f t="shared" si="95"/>
        <v>-8.858356332387201</v>
      </c>
      <c r="K732">
        <f t="shared" si="96"/>
        <v>38.193484053826744</v>
      </c>
      <c r="L732">
        <f t="shared" si="97"/>
        <v>-8.8583563323871921</v>
      </c>
    </row>
    <row r="733" spans="1:12" x14ac:dyDescent="0.25">
      <c r="A733" s="3">
        <v>42369</v>
      </c>
      <c r="B733" s="3" t="str">
        <f t="shared" si="90"/>
        <v>Dec</v>
      </c>
      <c r="C733" s="3" t="str">
        <f t="shared" si="91"/>
        <v>2015</v>
      </c>
      <c r="D733" s="3" t="str">
        <f t="shared" si="92"/>
        <v>Thursday</v>
      </c>
      <c r="E733">
        <v>325457.52500000002</v>
      </c>
      <c r="F733">
        <v>353929.73839999997</v>
      </c>
      <c r="G733">
        <v>9266</v>
      </c>
      <c r="H733" s="1">
        <f t="shared" si="93"/>
        <v>35.123842542628971</v>
      </c>
      <c r="I733" s="1" t="str">
        <f t="shared" si="94"/>
        <v>Medium</v>
      </c>
      <c r="J733">
        <f t="shared" si="95"/>
        <v>-8.7483653665712442</v>
      </c>
      <c r="K733">
        <f t="shared" si="96"/>
        <v>38.196604619037338</v>
      </c>
      <c r="L733">
        <f t="shared" si="97"/>
        <v>-8.7483653665712353</v>
      </c>
    </row>
    <row r="734" spans="1:12" x14ac:dyDescent="0.25">
      <c r="A734" s="3">
        <v>42370</v>
      </c>
      <c r="B734" s="3" t="str">
        <f t="shared" si="90"/>
        <v>Jan</v>
      </c>
      <c r="C734" s="3" t="str">
        <f t="shared" si="91"/>
        <v>2016</v>
      </c>
      <c r="D734" s="3" t="str">
        <f t="shared" si="92"/>
        <v>Friday</v>
      </c>
      <c r="E734">
        <v>111650.2398</v>
      </c>
      <c r="F734">
        <v>121448.2838</v>
      </c>
      <c r="G734">
        <v>3179</v>
      </c>
      <c r="H734" s="1">
        <f t="shared" si="93"/>
        <v>35.121182698961938</v>
      </c>
      <c r="I734" s="1" t="str">
        <f t="shared" si="94"/>
        <v>Medium</v>
      </c>
      <c r="J734">
        <f t="shared" si="95"/>
        <v>-8.7756587156026953</v>
      </c>
      <c r="K734">
        <f t="shared" si="96"/>
        <v>38.203297829506134</v>
      </c>
      <c r="L734">
        <f t="shared" si="97"/>
        <v>-8.7756587156026846</v>
      </c>
    </row>
    <row r="735" spans="1:12" x14ac:dyDescent="0.25">
      <c r="A735" s="3">
        <v>42371</v>
      </c>
      <c r="B735" s="3" t="str">
        <f t="shared" si="90"/>
        <v>Jan</v>
      </c>
      <c r="C735" s="3" t="str">
        <f t="shared" si="91"/>
        <v>2016</v>
      </c>
      <c r="D735" s="3" t="str">
        <f t="shared" si="92"/>
        <v>Saturday</v>
      </c>
      <c r="E735">
        <v>262421.2819</v>
      </c>
      <c r="F735">
        <v>285675.84570000001</v>
      </c>
      <c r="G735">
        <v>7479</v>
      </c>
      <c r="H735" s="1">
        <f t="shared" si="93"/>
        <v>35.087749953202298</v>
      </c>
      <c r="I735" s="1" t="str">
        <f t="shared" si="94"/>
        <v>Low</v>
      </c>
      <c r="J735">
        <f t="shared" si="95"/>
        <v>-8.8615388323808055</v>
      </c>
      <c r="K735">
        <f t="shared" si="96"/>
        <v>38.197064540714003</v>
      </c>
      <c r="L735">
        <f t="shared" si="97"/>
        <v>-8.8615388323808197</v>
      </c>
    </row>
    <row r="736" spans="1:12" x14ac:dyDescent="0.25">
      <c r="A736" s="3">
        <v>42372</v>
      </c>
      <c r="B736" s="3" t="str">
        <f t="shared" si="90"/>
        <v>Jan</v>
      </c>
      <c r="C736" s="3" t="str">
        <f t="shared" si="91"/>
        <v>2016</v>
      </c>
      <c r="D736" s="3" t="str">
        <f t="shared" si="92"/>
        <v>Sunday</v>
      </c>
      <c r="E736">
        <v>164527.53890000001</v>
      </c>
      <c r="F736">
        <v>179308.94949999999</v>
      </c>
      <c r="G736">
        <v>4694</v>
      </c>
      <c r="H736" s="1">
        <f t="shared" si="93"/>
        <v>35.050604793353223</v>
      </c>
      <c r="I736" s="1" t="str">
        <f t="shared" si="94"/>
        <v>Low</v>
      </c>
      <c r="J736">
        <f t="shared" si="95"/>
        <v>-8.9841559041274728</v>
      </c>
      <c r="K736">
        <f t="shared" si="96"/>
        <v>38.199605773327647</v>
      </c>
      <c r="L736">
        <f t="shared" si="97"/>
        <v>-8.984155904127455</v>
      </c>
    </row>
    <row r="737" spans="1:12" x14ac:dyDescent="0.25">
      <c r="A737" s="3">
        <v>42373</v>
      </c>
      <c r="B737" s="3" t="str">
        <f t="shared" si="90"/>
        <v>Jan</v>
      </c>
      <c r="C737" s="3" t="str">
        <f t="shared" si="91"/>
        <v>2016</v>
      </c>
      <c r="D737" s="3" t="str">
        <f t="shared" si="92"/>
        <v>Monday</v>
      </c>
      <c r="E737">
        <v>274990.14649999997</v>
      </c>
      <c r="F737">
        <v>299576.2414</v>
      </c>
      <c r="G737">
        <v>7843</v>
      </c>
      <c r="H737" s="1">
        <f t="shared" si="93"/>
        <v>35.061857261252065</v>
      </c>
      <c r="I737" s="1" t="str">
        <f t="shared" si="94"/>
        <v>Low</v>
      </c>
      <c r="J737">
        <f t="shared" si="95"/>
        <v>-8.9407184995263194</v>
      </c>
      <c r="K737">
        <f t="shared" si="96"/>
        <v>38.196639219686347</v>
      </c>
      <c r="L737">
        <f t="shared" si="97"/>
        <v>-8.9407184995263371</v>
      </c>
    </row>
    <row r="738" spans="1:12" x14ac:dyDescent="0.25">
      <c r="A738" s="3">
        <v>42374</v>
      </c>
      <c r="B738" s="3" t="str">
        <f t="shared" si="90"/>
        <v>Jan</v>
      </c>
      <c r="C738" s="3" t="str">
        <f t="shared" si="91"/>
        <v>2016</v>
      </c>
      <c r="D738" s="3" t="str">
        <f t="shared" si="92"/>
        <v>Tuesday</v>
      </c>
      <c r="E738">
        <v>215737.84280000001</v>
      </c>
      <c r="F738">
        <v>234642.0857</v>
      </c>
      <c r="G738">
        <v>6150</v>
      </c>
      <c r="H738" s="1">
        <f t="shared" si="93"/>
        <v>35.079324032520326</v>
      </c>
      <c r="I738" s="1" t="str">
        <f t="shared" si="94"/>
        <v>Low</v>
      </c>
      <c r="J738">
        <f t="shared" si="95"/>
        <v>-8.76259939130159</v>
      </c>
      <c r="K738">
        <f t="shared" si="96"/>
        <v>38.153184666666668</v>
      </c>
      <c r="L738">
        <f t="shared" si="97"/>
        <v>-8.7625993913016007</v>
      </c>
    </row>
    <row r="739" spans="1:12" x14ac:dyDescent="0.25">
      <c r="A739" s="3">
        <v>42375</v>
      </c>
      <c r="B739" s="3" t="str">
        <f t="shared" si="90"/>
        <v>Jan</v>
      </c>
      <c r="C739" s="3" t="str">
        <f t="shared" si="91"/>
        <v>2016</v>
      </c>
      <c r="D739" s="3" t="str">
        <f t="shared" si="92"/>
        <v>Wednesday</v>
      </c>
      <c r="E739">
        <v>98646.982699999993</v>
      </c>
      <c r="F739">
        <v>91610.559999999998</v>
      </c>
      <c r="G739">
        <v>2401</v>
      </c>
      <c r="H739" s="1">
        <f t="shared" si="93"/>
        <v>41.085790379008742</v>
      </c>
      <c r="I739" s="1" t="str">
        <f t="shared" si="94"/>
        <v>Medium</v>
      </c>
      <c r="J739">
        <f t="shared" si="95"/>
        <v>7.1329325108693826</v>
      </c>
      <c r="K739">
        <f t="shared" si="96"/>
        <v>38.15516867971678</v>
      </c>
      <c r="L739">
        <f t="shared" si="97"/>
        <v>7.1329325108693871</v>
      </c>
    </row>
    <row r="740" spans="1:12" x14ac:dyDescent="0.25">
      <c r="A740" s="3">
        <v>42376</v>
      </c>
      <c r="B740" s="3" t="str">
        <f t="shared" si="90"/>
        <v>Jan</v>
      </c>
      <c r="C740" s="3" t="str">
        <f t="shared" si="91"/>
        <v>2016</v>
      </c>
      <c r="D740" s="3" t="str">
        <f t="shared" si="92"/>
        <v>Thursday</v>
      </c>
      <c r="E740">
        <v>74401.215289999993</v>
      </c>
      <c r="F740">
        <v>68988.861260000005</v>
      </c>
      <c r="G740">
        <v>1808</v>
      </c>
      <c r="H740" s="1">
        <f t="shared" si="93"/>
        <v>41.151114651548667</v>
      </c>
      <c r="I740" s="1" t="str">
        <f t="shared" si="94"/>
        <v>Medium</v>
      </c>
      <c r="J740">
        <f t="shared" si="95"/>
        <v>7.2745505687021259</v>
      </c>
      <c r="K740">
        <f t="shared" si="96"/>
        <v>38.157556006637172</v>
      </c>
      <c r="L740">
        <f t="shared" si="97"/>
        <v>7.2745505687021206</v>
      </c>
    </row>
    <row r="741" spans="1:12" x14ac:dyDescent="0.25">
      <c r="A741" s="3">
        <v>42377</v>
      </c>
      <c r="B741" s="3" t="str">
        <f t="shared" si="90"/>
        <v>Jan</v>
      </c>
      <c r="C741" s="3" t="str">
        <f t="shared" si="91"/>
        <v>2016</v>
      </c>
      <c r="D741" s="3" t="str">
        <f t="shared" si="92"/>
        <v>Friday</v>
      </c>
      <c r="E741">
        <v>106592.34299999999</v>
      </c>
      <c r="F741">
        <v>99021.682920000007</v>
      </c>
      <c r="G741">
        <v>2594</v>
      </c>
      <c r="H741" s="1">
        <f t="shared" si="93"/>
        <v>41.091882420971473</v>
      </c>
      <c r="I741" s="1" t="str">
        <f t="shared" si="94"/>
        <v>Medium</v>
      </c>
      <c r="J741">
        <f t="shared" si="95"/>
        <v>7.1024426960949603</v>
      </c>
      <c r="K741">
        <f t="shared" si="96"/>
        <v>38.173355019275256</v>
      </c>
      <c r="L741">
        <f t="shared" si="97"/>
        <v>7.1024426960949585</v>
      </c>
    </row>
    <row r="742" spans="1:12" x14ac:dyDescent="0.25">
      <c r="A742" s="3">
        <v>42378</v>
      </c>
      <c r="B742" s="3" t="str">
        <f t="shared" si="90"/>
        <v>Jan</v>
      </c>
      <c r="C742" s="3" t="str">
        <f t="shared" si="91"/>
        <v>2016</v>
      </c>
      <c r="D742" s="3" t="str">
        <f t="shared" si="92"/>
        <v>Saturday</v>
      </c>
      <c r="E742">
        <v>134629.65820000001</v>
      </c>
      <c r="F742">
        <v>124963.46550000001</v>
      </c>
      <c r="G742">
        <v>3274</v>
      </c>
      <c r="H742" s="1">
        <f t="shared" si="93"/>
        <v>41.120848564447158</v>
      </c>
      <c r="I742" s="1" t="str">
        <f t="shared" si="94"/>
        <v>Medium</v>
      </c>
      <c r="J742">
        <f t="shared" si="95"/>
        <v>7.1798389962784581</v>
      </c>
      <c r="K742">
        <f t="shared" si="96"/>
        <v>38.168437843616374</v>
      </c>
      <c r="L742">
        <f t="shared" si="97"/>
        <v>7.1798389962784492</v>
      </c>
    </row>
    <row r="743" spans="1:12" x14ac:dyDescent="0.25">
      <c r="A743" s="3">
        <v>42379</v>
      </c>
      <c r="B743" s="3" t="str">
        <f t="shared" si="90"/>
        <v>Jan</v>
      </c>
      <c r="C743" s="3" t="str">
        <f t="shared" si="91"/>
        <v>2016</v>
      </c>
      <c r="D743" s="3" t="str">
        <f t="shared" si="92"/>
        <v>Sunday</v>
      </c>
      <c r="E743">
        <v>90773.653059999997</v>
      </c>
      <c r="F743">
        <v>84299.288239999994</v>
      </c>
      <c r="G743">
        <v>2207</v>
      </c>
      <c r="H743" s="1">
        <f t="shared" si="93"/>
        <v>41.129883579519706</v>
      </c>
      <c r="I743" s="1" t="str">
        <f t="shared" si="94"/>
        <v>Medium</v>
      </c>
      <c r="J743">
        <f t="shared" si="95"/>
        <v>7.1324273087484391</v>
      </c>
      <c r="K743">
        <f t="shared" si="96"/>
        <v>38.196324531037604</v>
      </c>
      <c r="L743">
        <f t="shared" si="97"/>
        <v>7.1324273087484364</v>
      </c>
    </row>
    <row r="744" spans="1:12" x14ac:dyDescent="0.25">
      <c r="A744" s="3">
        <v>42380</v>
      </c>
      <c r="B744" s="3" t="str">
        <f t="shared" si="90"/>
        <v>Jan</v>
      </c>
      <c r="C744" s="3" t="str">
        <f t="shared" si="91"/>
        <v>2016</v>
      </c>
      <c r="D744" s="3" t="str">
        <f t="shared" si="92"/>
        <v>Monday</v>
      </c>
      <c r="E744">
        <v>121373.06819999999</v>
      </c>
      <c r="F744">
        <v>112550.4323</v>
      </c>
      <c r="G744">
        <v>2949</v>
      </c>
      <c r="H744" s="1">
        <f t="shared" si="93"/>
        <v>41.157364598168868</v>
      </c>
      <c r="I744" s="1" t="str">
        <f t="shared" si="94"/>
        <v>Medium</v>
      </c>
      <c r="J744">
        <f t="shared" si="95"/>
        <v>7.2690227171829829</v>
      </c>
      <c r="K744">
        <f t="shared" si="96"/>
        <v>38.165626415734145</v>
      </c>
      <c r="L744">
        <f t="shared" si="97"/>
        <v>7.2690227171829864</v>
      </c>
    </row>
    <row r="745" spans="1:12" x14ac:dyDescent="0.25">
      <c r="A745" s="3">
        <v>42381</v>
      </c>
      <c r="B745" s="3" t="str">
        <f t="shared" si="90"/>
        <v>Jan</v>
      </c>
      <c r="C745" s="3" t="str">
        <f t="shared" si="91"/>
        <v>2016</v>
      </c>
      <c r="D745" s="3" t="str">
        <f t="shared" si="92"/>
        <v>Tuesday</v>
      </c>
      <c r="E745">
        <v>99445.557100000005</v>
      </c>
      <c r="F745">
        <v>92226.518100000001</v>
      </c>
      <c r="G745">
        <v>2417</v>
      </c>
      <c r="H745" s="1">
        <f t="shared" si="93"/>
        <v>41.144210633016137</v>
      </c>
      <c r="I745" s="1" t="str">
        <f t="shared" si="94"/>
        <v>Medium</v>
      </c>
      <c r="J745">
        <f t="shared" si="95"/>
        <v>7.2592876047149257</v>
      </c>
      <c r="K745">
        <f t="shared" si="96"/>
        <v>38.1574340504758</v>
      </c>
      <c r="L745">
        <f t="shared" si="97"/>
        <v>7.259287604714916</v>
      </c>
    </row>
    <row r="746" spans="1:12" x14ac:dyDescent="0.25">
      <c r="A746" s="3">
        <v>42382</v>
      </c>
      <c r="B746" s="3" t="str">
        <f t="shared" si="90"/>
        <v>Jan</v>
      </c>
      <c r="C746" s="3" t="str">
        <f t="shared" si="91"/>
        <v>2016</v>
      </c>
      <c r="D746" s="3" t="str">
        <f t="shared" si="92"/>
        <v>Wednesday</v>
      </c>
      <c r="E746">
        <v>67587.546929999997</v>
      </c>
      <c r="F746">
        <v>62760.356829999997</v>
      </c>
      <c r="G746">
        <v>1644</v>
      </c>
      <c r="H746" s="1">
        <f t="shared" si="93"/>
        <v>41.111646551094886</v>
      </c>
      <c r="I746" s="1" t="str">
        <f t="shared" si="94"/>
        <v>Medium</v>
      </c>
      <c r="J746">
        <f t="shared" si="95"/>
        <v>7.1421294591435469</v>
      </c>
      <c r="K746">
        <f t="shared" si="96"/>
        <v>38.17539953163017</v>
      </c>
      <c r="L746">
        <f t="shared" si="97"/>
        <v>7.1421294591435371</v>
      </c>
    </row>
    <row r="747" spans="1:12" x14ac:dyDescent="0.25">
      <c r="A747" s="3">
        <v>42383</v>
      </c>
      <c r="B747" s="3" t="str">
        <f t="shared" si="90"/>
        <v>Jan</v>
      </c>
      <c r="C747" s="3" t="str">
        <f t="shared" si="91"/>
        <v>2016</v>
      </c>
      <c r="D747" s="3" t="str">
        <f t="shared" si="92"/>
        <v>Thursday</v>
      </c>
      <c r="E747">
        <v>61685.935239999999</v>
      </c>
      <c r="F747">
        <v>57191.439319999998</v>
      </c>
      <c r="G747">
        <v>1499</v>
      </c>
      <c r="H747" s="1">
        <f t="shared" si="93"/>
        <v>41.151391087391595</v>
      </c>
      <c r="I747" s="1" t="str">
        <f t="shared" si="94"/>
        <v>Medium</v>
      </c>
      <c r="J747">
        <f t="shared" si="95"/>
        <v>7.2860951244613101</v>
      </c>
      <c r="K747">
        <f t="shared" si="96"/>
        <v>38.153061587725148</v>
      </c>
      <c r="L747">
        <f t="shared" si="97"/>
        <v>7.2860951244613146</v>
      </c>
    </row>
    <row r="748" spans="1:12" x14ac:dyDescent="0.25">
      <c r="A748" s="3">
        <v>42384</v>
      </c>
      <c r="B748" s="3" t="str">
        <f t="shared" si="90"/>
        <v>Jan</v>
      </c>
      <c r="C748" s="3" t="str">
        <f t="shared" si="91"/>
        <v>2016</v>
      </c>
      <c r="D748" s="3" t="str">
        <f t="shared" si="92"/>
        <v>Friday</v>
      </c>
      <c r="E748">
        <v>150006.92980000001</v>
      </c>
      <c r="F748">
        <v>139244.8958</v>
      </c>
      <c r="G748">
        <v>3648</v>
      </c>
      <c r="H748" s="1">
        <f t="shared" si="93"/>
        <v>41.120320668859655</v>
      </c>
      <c r="I748" s="1" t="str">
        <f t="shared" si="94"/>
        <v>Medium</v>
      </c>
      <c r="J748">
        <f t="shared" si="95"/>
        <v>7.1743578875647476</v>
      </c>
      <c r="K748">
        <f t="shared" si="96"/>
        <v>38.170201699561403</v>
      </c>
      <c r="L748">
        <f t="shared" si="97"/>
        <v>7.1743578875647529</v>
      </c>
    </row>
    <row r="749" spans="1:12" x14ac:dyDescent="0.25">
      <c r="A749" s="3">
        <v>42385</v>
      </c>
      <c r="B749" s="3" t="str">
        <f t="shared" si="90"/>
        <v>Jan</v>
      </c>
      <c r="C749" s="3" t="str">
        <f t="shared" si="91"/>
        <v>2016</v>
      </c>
      <c r="D749" s="3" t="str">
        <f t="shared" si="92"/>
        <v>Saturday</v>
      </c>
      <c r="E749">
        <v>191287.3535</v>
      </c>
      <c r="F749">
        <v>177577.28719999999</v>
      </c>
      <c r="G749">
        <v>4652</v>
      </c>
      <c r="H749" s="1">
        <f t="shared" si="93"/>
        <v>41.119379514187443</v>
      </c>
      <c r="I749" s="1" t="str">
        <f t="shared" si="94"/>
        <v>Medium</v>
      </c>
      <c r="J749">
        <f t="shared" si="95"/>
        <v>7.167262262322013</v>
      </c>
      <c r="K749">
        <f t="shared" si="96"/>
        <v>38.172245743766119</v>
      </c>
      <c r="L749">
        <f t="shared" si="97"/>
        <v>7.1672622623220104</v>
      </c>
    </row>
    <row r="750" spans="1:12" x14ac:dyDescent="0.25">
      <c r="A750" s="3">
        <v>42386</v>
      </c>
      <c r="B750" s="3" t="str">
        <f t="shared" si="90"/>
        <v>Jan</v>
      </c>
      <c r="C750" s="3" t="str">
        <f t="shared" si="91"/>
        <v>2016</v>
      </c>
      <c r="D750" s="3" t="str">
        <f t="shared" si="92"/>
        <v>Sunday</v>
      </c>
      <c r="E750">
        <v>92595.46084</v>
      </c>
      <c r="F750">
        <v>86018.189610000001</v>
      </c>
      <c r="G750">
        <v>2252</v>
      </c>
      <c r="H750" s="1">
        <f t="shared" si="93"/>
        <v>41.116989715808174</v>
      </c>
      <c r="I750" s="1" t="str">
        <f t="shared" si="94"/>
        <v>Medium</v>
      </c>
      <c r="J750">
        <f t="shared" si="95"/>
        <v>7.1032328910432998</v>
      </c>
      <c r="K750">
        <f t="shared" si="96"/>
        <v>38.196354178507995</v>
      </c>
      <c r="L750">
        <f t="shared" si="97"/>
        <v>7.1032328910433025</v>
      </c>
    </row>
    <row r="751" spans="1:12" x14ac:dyDescent="0.25">
      <c r="A751" s="3">
        <v>42387</v>
      </c>
      <c r="B751" s="3" t="str">
        <f t="shared" si="90"/>
        <v>Jan</v>
      </c>
      <c r="C751" s="3" t="str">
        <f t="shared" si="91"/>
        <v>2016</v>
      </c>
      <c r="D751" s="3" t="str">
        <f t="shared" si="92"/>
        <v>Monday</v>
      </c>
      <c r="E751">
        <v>96947.05429</v>
      </c>
      <c r="F751">
        <v>89961.359500000006</v>
      </c>
      <c r="G751">
        <v>2357</v>
      </c>
      <c r="H751" s="1">
        <f t="shared" si="93"/>
        <v>41.131546156130675</v>
      </c>
      <c r="I751" s="1" t="str">
        <f t="shared" si="94"/>
        <v>Medium</v>
      </c>
      <c r="J751">
        <f t="shared" si="95"/>
        <v>7.2056802975194287</v>
      </c>
      <c r="K751">
        <f t="shared" si="96"/>
        <v>38.167738438693256</v>
      </c>
      <c r="L751">
        <f t="shared" si="97"/>
        <v>7.2056802975194305</v>
      </c>
    </row>
    <row r="752" spans="1:12" x14ac:dyDescent="0.25">
      <c r="A752" s="3">
        <v>42388</v>
      </c>
      <c r="B752" s="3" t="str">
        <f t="shared" si="90"/>
        <v>Jan</v>
      </c>
      <c r="C752" s="3" t="str">
        <f t="shared" si="91"/>
        <v>2016</v>
      </c>
      <c r="D752" s="3" t="str">
        <f t="shared" si="92"/>
        <v>Tuesday</v>
      </c>
      <c r="E752">
        <v>70512.894499999995</v>
      </c>
      <c r="F752">
        <v>65453.276389999999</v>
      </c>
      <c r="G752">
        <v>1715</v>
      </c>
      <c r="H752" s="1">
        <f t="shared" si="93"/>
        <v>41.115390379008744</v>
      </c>
      <c r="I752" s="1" t="str">
        <f t="shared" si="94"/>
        <v>Medium</v>
      </c>
      <c r="J752">
        <f t="shared" si="95"/>
        <v>7.1754508815405336</v>
      </c>
      <c r="K752">
        <f t="shared" si="96"/>
        <v>38.165175737609331</v>
      </c>
      <c r="L752">
        <f t="shared" si="97"/>
        <v>7.1754508815405282</v>
      </c>
    </row>
    <row r="753" spans="1:12" x14ac:dyDescent="0.25">
      <c r="A753" s="3">
        <v>42389</v>
      </c>
      <c r="B753" s="3" t="str">
        <f t="shared" si="90"/>
        <v>Jan</v>
      </c>
      <c r="C753" s="3" t="str">
        <f t="shared" si="91"/>
        <v>2016</v>
      </c>
      <c r="D753" s="3" t="str">
        <f t="shared" si="92"/>
        <v>Wednesday</v>
      </c>
      <c r="E753">
        <v>159590.4901</v>
      </c>
      <c r="F753">
        <v>182351.13879999999</v>
      </c>
      <c r="G753">
        <v>4776</v>
      </c>
      <c r="H753" s="1">
        <f t="shared" si="93"/>
        <v>33.415094242043551</v>
      </c>
      <c r="I753" s="1" t="str">
        <f t="shared" si="94"/>
        <v>Low</v>
      </c>
      <c r="J753">
        <f t="shared" si="95"/>
        <v>-14.2619078904627</v>
      </c>
      <c r="K753">
        <f t="shared" si="96"/>
        <v>38.180724204355108</v>
      </c>
      <c r="L753">
        <f t="shared" si="97"/>
        <v>-14.261907890462702</v>
      </c>
    </row>
    <row r="754" spans="1:12" x14ac:dyDescent="0.25">
      <c r="A754" s="3">
        <v>42390</v>
      </c>
      <c r="B754" s="3" t="str">
        <f t="shared" si="90"/>
        <v>Jan</v>
      </c>
      <c r="C754" s="3" t="str">
        <f t="shared" si="91"/>
        <v>2016</v>
      </c>
      <c r="D754" s="3" t="str">
        <f t="shared" si="92"/>
        <v>Thursday</v>
      </c>
      <c r="E754">
        <v>67046.273419999998</v>
      </c>
      <c r="F754">
        <v>61894.262560000003</v>
      </c>
      <c r="G754">
        <v>1628</v>
      </c>
      <c r="H754" s="1">
        <f t="shared" si="93"/>
        <v>41.18321463144963</v>
      </c>
      <c r="I754" s="1" t="str">
        <f t="shared" si="94"/>
        <v>Medium</v>
      </c>
      <c r="J754">
        <f t="shared" si="95"/>
        <v>7.6842613275850518</v>
      </c>
      <c r="K754">
        <f t="shared" si="96"/>
        <v>38.018588796068798</v>
      </c>
      <c r="L754">
        <f t="shared" si="97"/>
        <v>7.68426132758505</v>
      </c>
    </row>
    <row r="755" spans="1:12" x14ac:dyDescent="0.25">
      <c r="A755" s="3">
        <v>42391</v>
      </c>
      <c r="B755" s="3" t="str">
        <f t="shared" si="90"/>
        <v>Jan</v>
      </c>
      <c r="C755" s="3" t="str">
        <f t="shared" si="91"/>
        <v>2016</v>
      </c>
      <c r="D755" s="3" t="str">
        <f t="shared" si="92"/>
        <v>Friday</v>
      </c>
      <c r="E755">
        <v>266949.23879999999</v>
      </c>
      <c r="F755">
        <v>294322.92719999998</v>
      </c>
      <c r="G755">
        <v>7806</v>
      </c>
      <c r="H755" s="1">
        <f t="shared" si="93"/>
        <v>34.197955265180632</v>
      </c>
      <c r="I755" s="1" t="str">
        <f t="shared" si="94"/>
        <v>Low</v>
      </c>
      <c r="J755">
        <f t="shared" si="95"/>
        <v>-10.254267261840189</v>
      </c>
      <c r="K755">
        <f t="shared" si="96"/>
        <v>37.704704996156799</v>
      </c>
      <c r="L755">
        <f t="shared" si="97"/>
        <v>-10.25426726184018</v>
      </c>
    </row>
    <row r="756" spans="1:12" x14ac:dyDescent="0.25">
      <c r="A756" s="3">
        <v>42392</v>
      </c>
      <c r="B756" s="3" t="str">
        <f t="shared" si="90"/>
        <v>Jan</v>
      </c>
      <c r="C756" s="3" t="str">
        <f t="shared" si="91"/>
        <v>2016</v>
      </c>
      <c r="D756" s="3" t="str">
        <f t="shared" si="92"/>
        <v>Saturday</v>
      </c>
      <c r="E756">
        <v>315272.22480000003</v>
      </c>
      <c r="F756">
        <v>346093.06699999998</v>
      </c>
      <c r="G756">
        <v>9210</v>
      </c>
      <c r="H756" s="1">
        <f t="shared" si="93"/>
        <v>34.231511921824108</v>
      </c>
      <c r="I756" s="1" t="str">
        <f t="shared" si="94"/>
        <v>Low</v>
      </c>
      <c r="J756">
        <f t="shared" si="95"/>
        <v>-9.7759459208789625</v>
      </c>
      <c r="K756">
        <f t="shared" si="96"/>
        <v>37.577966015200865</v>
      </c>
      <c r="L756">
        <f t="shared" si="97"/>
        <v>-9.7759459208789536</v>
      </c>
    </row>
    <row r="757" spans="1:12" x14ac:dyDescent="0.25">
      <c r="A757" s="3">
        <v>42393</v>
      </c>
      <c r="B757" s="3" t="str">
        <f t="shared" si="90"/>
        <v>Jan</v>
      </c>
      <c r="C757" s="3" t="str">
        <f t="shared" si="91"/>
        <v>2016</v>
      </c>
      <c r="D757" s="3" t="str">
        <f t="shared" si="92"/>
        <v>Sunday</v>
      </c>
      <c r="E757">
        <v>149138.9215</v>
      </c>
      <c r="F757">
        <v>163505.71299999999</v>
      </c>
      <c r="G757">
        <v>4351</v>
      </c>
      <c r="H757" s="1">
        <f t="shared" si="93"/>
        <v>34.276929786256034</v>
      </c>
      <c r="I757" s="1" t="str">
        <f t="shared" si="94"/>
        <v>Low</v>
      </c>
      <c r="J757">
        <f t="shared" si="95"/>
        <v>-9.6331603819463005</v>
      </c>
      <c r="K757">
        <f t="shared" si="96"/>
        <v>37.578881406573196</v>
      </c>
      <c r="L757">
        <f t="shared" si="97"/>
        <v>-9.6331603819462863</v>
      </c>
    </row>
    <row r="758" spans="1:12" x14ac:dyDescent="0.25">
      <c r="A758" s="3">
        <v>42394</v>
      </c>
      <c r="B758" s="3" t="str">
        <f t="shared" si="90"/>
        <v>Jan</v>
      </c>
      <c r="C758" s="3" t="str">
        <f t="shared" si="91"/>
        <v>2016</v>
      </c>
      <c r="D758" s="3" t="str">
        <f t="shared" si="92"/>
        <v>Monday</v>
      </c>
      <c r="E758">
        <v>215171.03820000001</v>
      </c>
      <c r="F758">
        <v>234621.59890000001</v>
      </c>
      <c r="G758">
        <v>6278</v>
      </c>
      <c r="H758" s="1">
        <f t="shared" si="93"/>
        <v>34.273819401083152</v>
      </c>
      <c r="I758" s="1" t="str">
        <f t="shared" si="94"/>
        <v>Low</v>
      </c>
      <c r="J758">
        <f t="shared" si="95"/>
        <v>-9.0395811921123137</v>
      </c>
      <c r="K758">
        <f t="shared" si="96"/>
        <v>37.372029133482002</v>
      </c>
      <c r="L758">
        <f t="shared" si="97"/>
        <v>-9.0395811921123013</v>
      </c>
    </row>
    <row r="759" spans="1:12" x14ac:dyDescent="0.25">
      <c r="A759" s="3">
        <v>42395</v>
      </c>
      <c r="B759" s="3" t="str">
        <f t="shared" si="90"/>
        <v>Jan</v>
      </c>
      <c r="C759" s="3" t="str">
        <f t="shared" si="91"/>
        <v>2016</v>
      </c>
      <c r="D759" s="3" t="str">
        <f t="shared" si="92"/>
        <v>Tuesday</v>
      </c>
      <c r="E759">
        <v>205197.89840000001</v>
      </c>
      <c r="F759">
        <v>221931.58009999999</v>
      </c>
      <c r="G759">
        <v>5992</v>
      </c>
      <c r="H759" s="1">
        <f t="shared" si="93"/>
        <v>34.245310146862487</v>
      </c>
      <c r="I759" s="1" t="str">
        <f t="shared" si="94"/>
        <v>Low</v>
      </c>
      <c r="J759">
        <f t="shared" si="95"/>
        <v>-8.1548991634311907</v>
      </c>
      <c r="K759">
        <f t="shared" si="96"/>
        <v>37.037980657543393</v>
      </c>
      <c r="L759">
        <f t="shared" si="97"/>
        <v>-8.1548991634311943</v>
      </c>
    </row>
    <row r="760" spans="1:12" x14ac:dyDescent="0.25">
      <c r="A760" s="3">
        <v>42396</v>
      </c>
      <c r="B760" s="3" t="str">
        <f t="shared" si="90"/>
        <v>Jan</v>
      </c>
      <c r="C760" s="3" t="str">
        <f t="shared" si="91"/>
        <v>2016</v>
      </c>
      <c r="D760" s="3" t="str">
        <f t="shared" si="92"/>
        <v>Wednesday</v>
      </c>
      <c r="E760">
        <v>214452.24840000001</v>
      </c>
      <c r="F760">
        <v>231730.23269999999</v>
      </c>
      <c r="G760">
        <v>6265</v>
      </c>
      <c r="H760" s="1">
        <f t="shared" si="93"/>
        <v>34.230207246608146</v>
      </c>
      <c r="I760" s="1" t="str">
        <f t="shared" si="94"/>
        <v>Low</v>
      </c>
      <c r="J760">
        <f t="shared" si="95"/>
        <v>-8.0567979253697484</v>
      </c>
      <c r="K760">
        <f t="shared" si="96"/>
        <v>36.988065873902634</v>
      </c>
      <c r="L760">
        <f t="shared" si="97"/>
        <v>-8.0567979253697448</v>
      </c>
    </row>
    <row r="761" spans="1:12" x14ac:dyDescent="0.25">
      <c r="A761" s="3">
        <v>42397</v>
      </c>
      <c r="B761" s="3" t="str">
        <f t="shared" si="90"/>
        <v>Jan</v>
      </c>
      <c r="C761" s="3" t="str">
        <f t="shared" si="91"/>
        <v>2016</v>
      </c>
      <c r="D761" s="3" t="str">
        <f t="shared" si="92"/>
        <v>Thursday</v>
      </c>
      <c r="E761">
        <v>195767.9736</v>
      </c>
      <c r="F761">
        <v>210639.84820000001</v>
      </c>
      <c r="G761">
        <v>5723</v>
      </c>
      <c r="H761" s="1">
        <f t="shared" si="93"/>
        <v>34.207229355233267</v>
      </c>
      <c r="I761" s="1" t="str">
        <f t="shared" si="94"/>
        <v>Low</v>
      </c>
      <c r="J761">
        <f t="shared" si="95"/>
        <v>-7.5966841391466549</v>
      </c>
      <c r="K761">
        <f t="shared" si="96"/>
        <v>36.80584452210379</v>
      </c>
      <c r="L761">
        <f t="shared" si="97"/>
        <v>-7.5966841391466522</v>
      </c>
    </row>
    <row r="762" spans="1:12" x14ac:dyDescent="0.25">
      <c r="A762" s="3">
        <v>42398</v>
      </c>
      <c r="B762" s="3" t="str">
        <f t="shared" si="90"/>
        <v>Jan</v>
      </c>
      <c r="C762" s="3" t="str">
        <f t="shared" si="91"/>
        <v>2016</v>
      </c>
      <c r="D762" s="3" t="str">
        <f t="shared" si="92"/>
        <v>Friday</v>
      </c>
      <c r="E762">
        <v>397984.32929999998</v>
      </c>
      <c r="F762">
        <v>437198.92959999997</v>
      </c>
      <c r="G762">
        <v>11900</v>
      </c>
      <c r="H762" s="1">
        <f t="shared" si="93"/>
        <v>33.444061285714284</v>
      </c>
      <c r="I762" s="1" t="str">
        <f t="shared" si="94"/>
        <v>Low</v>
      </c>
      <c r="J762">
        <f t="shared" si="95"/>
        <v>-9.8533026084150386</v>
      </c>
      <c r="K762">
        <f t="shared" si="96"/>
        <v>36.739405848739494</v>
      </c>
      <c r="L762">
        <f t="shared" si="97"/>
        <v>-9.8533026084150421</v>
      </c>
    </row>
    <row r="763" spans="1:12" x14ac:dyDescent="0.25">
      <c r="A763" s="3">
        <v>42399</v>
      </c>
      <c r="B763" s="3" t="str">
        <f t="shared" si="90"/>
        <v>Jan</v>
      </c>
      <c r="C763" s="3" t="str">
        <f t="shared" si="91"/>
        <v>2016</v>
      </c>
      <c r="D763" s="3" t="str">
        <f t="shared" si="92"/>
        <v>Saturday</v>
      </c>
      <c r="E763">
        <v>512603.10350000003</v>
      </c>
      <c r="F763">
        <v>561872.20600000001</v>
      </c>
      <c r="G763">
        <v>15345</v>
      </c>
      <c r="H763" s="1">
        <f t="shared" si="93"/>
        <v>33.405220169436298</v>
      </c>
      <c r="I763" s="1" t="str">
        <f t="shared" si="94"/>
        <v>Low</v>
      </c>
      <c r="J763">
        <f t="shared" si="95"/>
        <v>-9.6115497864908992</v>
      </c>
      <c r="K763">
        <f t="shared" si="96"/>
        <v>36.615979537308569</v>
      </c>
      <c r="L763">
        <f t="shared" si="97"/>
        <v>-9.6115497864909045</v>
      </c>
    </row>
    <row r="764" spans="1:12" x14ac:dyDescent="0.25">
      <c r="A764" s="3">
        <v>42400</v>
      </c>
      <c r="B764" s="3" t="str">
        <f t="shared" si="90"/>
        <v>Jan</v>
      </c>
      <c r="C764" s="3" t="str">
        <f t="shared" si="91"/>
        <v>2016</v>
      </c>
      <c r="D764" s="3" t="str">
        <f t="shared" si="92"/>
        <v>Sunday</v>
      </c>
      <c r="E764">
        <v>218104.06690000001</v>
      </c>
      <c r="F764">
        <v>238662.19209999999</v>
      </c>
      <c r="G764">
        <v>6525</v>
      </c>
      <c r="H764" s="1">
        <f t="shared" si="93"/>
        <v>33.425910636015324</v>
      </c>
      <c r="I764" s="1" t="str">
        <f t="shared" si="94"/>
        <v>Low</v>
      </c>
      <c r="J764">
        <f t="shared" si="95"/>
        <v>-9.4258330402549593</v>
      </c>
      <c r="K764">
        <f t="shared" si="96"/>
        <v>36.576581164750955</v>
      </c>
      <c r="L764">
        <f t="shared" si="97"/>
        <v>-9.4258330402549664</v>
      </c>
    </row>
    <row r="765" spans="1:12" x14ac:dyDescent="0.25">
      <c r="A765" s="3">
        <v>42401</v>
      </c>
      <c r="B765" s="3" t="str">
        <f t="shared" si="90"/>
        <v>Feb</v>
      </c>
      <c r="C765" s="3" t="str">
        <f t="shared" si="91"/>
        <v>2016</v>
      </c>
      <c r="D765" s="3" t="str">
        <f t="shared" si="92"/>
        <v>Monday</v>
      </c>
      <c r="E765">
        <v>339004.33689999999</v>
      </c>
      <c r="F765">
        <v>371177.18689999997</v>
      </c>
      <c r="G765">
        <v>10153</v>
      </c>
      <c r="H765" s="1">
        <f t="shared" si="93"/>
        <v>33.389573219738011</v>
      </c>
      <c r="I765" s="1" t="str">
        <f t="shared" si="94"/>
        <v>Low</v>
      </c>
      <c r="J765">
        <f t="shared" si="95"/>
        <v>-9.4903948115243058</v>
      </c>
      <c r="K765">
        <f t="shared" si="96"/>
        <v>36.558375544174133</v>
      </c>
      <c r="L765">
        <f t="shared" si="97"/>
        <v>-9.4903948115242951</v>
      </c>
    </row>
    <row r="766" spans="1:12" x14ac:dyDescent="0.25">
      <c r="A766" s="3">
        <v>42402</v>
      </c>
      <c r="B766" s="3" t="str">
        <f t="shared" si="90"/>
        <v>Feb</v>
      </c>
      <c r="C766" s="3" t="str">
        <f t="shared" si="91"/>
        <v>2016</v>
      </c>
      <c r="D766" s="3" t="str">
        <f t="shared" si="92"/>
        <v>Tuesday</v>
      </c>
      <c r="E766">
        <v>278116.36930000002</v>
      </c>
      <c r="F766">
        <v>295645.62910000002</v>
      </c>
      <c r="G766">
        <v>8116</v>
      </c>
      <c r="H766" s="1">
        <f t="shared" si="93"/>
        <v>34.267665019714144</v>
      </c>
      <c r="I766" s="1" t="str">
        <f t="shared" si="94"/>
        <v>Low</v>
      </c>
      <c r="J766">
        <f t="shared" si="95"/>
        <v>-6.3028507973550614</v>
      </c>
      <c r="K766">
        <f t="shared" si="96"/>
        <v>36.427504817644163</v>
      </c>
      <c r="L766">
        <f t="shared" si="97"/>
        <v>-6.3028507973550738</v>
      </c>
    </row>
    <row r="767" spans="1:12" x14ac:dyDescent="0.25">
      <c r="A767" s="3">
        <v>42403</v>
      </c>
      <c r="B767" s="3" t="str">
        <f t="shared" si="90"/>
        <v>Feb</v>
      </c>
      <c r="C767" s="3" t="str">
        <f t="shared" si="91"/>
        <v>2016</v>
      </c>
      <c r="D767" s="3" t="str">
        <f t="shared" si="92"/>
        <v>Wednesday</v>
      </c>
      <c r="E767">
        <v>264159.30060000002</v>
      </c>
      <c r="F767">
        <v>280392.27360000001</v>
      </c>
      <c r="G767">
        <v>7712</v>
      </c>
      <c r="H767" s="1">
        <f t="shared" si="93"/>
        <v>34.253021343360999</v>
      </c>
      <c r="I767" s="1" t="str">
        <f t="shared" si="94"/>
        <v>Low</v>
      </c>
      <c r="J767">
        <f t="shared" si="95"/>
        <v>-6.1451453585503613</v>
      </c>
      <c r="K767">
        <f t="shared" si="96"/>
        <v>36.357919294605814</v>
      </c>
      <c r="L767">
        <f t="shared" si="97"/>
        <v>-6.1451453585503693</v>
      </c>
    </row>
    <row r="768" spans="1:12" x14ac:dyDescent="0.25">
      <c r="A768" s="3">
        <v>42404</v>
      </c>
      <c r="B768" s="3" t="str">
        <f t="shared" si="90"/>
        <v>Feb</v>
      </c>
      <c r="C768" s="3" t="str">
        <f t="shared" si="91"/>
        <v>2016</v>
      </c>
      <c r="D768" s="3" t="str">
        <f t="shared" si="92"/>
        <v>Thursday</v>
      </c>
      <c r="E768">
        <v>197778.13370000001</v>
      </c>
      <c r="F768">
        <v>209372.2922</v>
      </c>
      <c r="G768">
        <v>5759</v>
      </c>
      <c r="H768" s="1">
        <f t="shared" si="93"/>
        <v>34.342443774960934</v>
      </c>
      <c r="I768" s="1" t="str">
        <f t="shared" si="94"/>
        <v>Low</v>
      </c>
      <c r="J768">
        <f t="shared" si="95"/>
        <v>-5.8622044222475083</v>
      </c>
      <c r="K768">
        <f t="shared" si="96"/>
        <v>36.355668032644559</v>
      </c>
      <c r="L768">
        <f t="shared" si="97"/>
        <v>-5.8622044222475109</v>
      </c>
    </row>
    <row r="769" spans="1:12" x14ac:dyDescent="0.25">
      <c r="A769" s="3">
        <v>42405</v>
      </c>
      <c r="B769" s="3" t="str">
        <f t="shared" si="90"/>
        <v>Feb</v>
      </c>
      <c r="C769" s="3" t="str">
        <f t="shared" si="91"/>
        <v>2016</v>
      </c>
      <c r="D769" s="3" t="str">
        <f t="shared" si="92"/>
        <v>Friday</v>
      </c>
      <c r="E769">
        <v>325749.00890000002</v>
      </c>
      <c r="F769">
        <v>345287.81150000001</v>
      </c>
      <c r="G769">
        <v>9501</v>
      </c>
      <c r="H769" s="1">
        <f t="shared" si="93"/>
        <v>34.285760330491527</v>
      </c>
      <c r="I769" s="1" t="str">
        <f t="shared" si="94"/>
        <v>Low</v>
      </c>
      <c r="J769">
        <f t="shared" si="95"/>
        <v>-5.9981157474520854</v>
      </c>
      <c r="K769">
        <f t="shared" si="96"/>
        <v>36.342259920008424</v>
      </c>
      <c r="L769">
        <f t="shared" si="97"/>
        <v>-5.9981157474520961</v>
      </c>
    </row>
    <row r="770" spans="1:12" x14ac:dyDescent="0.25">
      <c r="A770" s="3">
        <v>42406</v>
      </c>
      <c r="B770" s="3" t="str">
        <f t="shared" si="90"/>
        <v>Feb</v>
      </c>
      <c r="C770" s="3" t="str">
        <f t="shared" si="91"/>
        <v>2016</v>
      </c>
      <c r="D770" s="3" t="str">
        <f t="shared" si="92"/>
        <v>Saturday</v>
      </c>
      <c r="E770">
        <v>371561.97639999999</v>
      </c>
      <c r="F770">
        <v>393884.43300000002</v>
      </c>
      <c r="G770">
        <v>10840</v>
      </c>
      <c r="H770" s="1">
        <f t="shared" si="93"/>
        <v>34.276935092250923</v>
      </c>
      <c r="I770" s="1" t="str">
        <f t="shared" si="94"/>
        <v>Low</v>
      </c>
      <c r="J770">
        <f t="shared" si="95"/>
        <v>-6.007734380217931</v>
      </c>
      <c r="K770">
        <f t="shared" si="96"/>
        <v>36.336202306273066</v>
      </c>
      <c r="L770">
        <f t="shared" si="97"/>
        <v>-6.0077343802179284</v>
      </c>
    </row>
    <row r="771" spans="1:12" x14ac:dyDescent="0.25">
      <c r="A771" s="3">
        <v>42407</v>
      </c>
      <c r="B771" s="3" t="str">
        <f t="shared" ref="B771:B834" si="98">TEXT(A771,"mmm")</f>
        <v>Feb</v>
      </c>
      <c r="C771" s="3" t="str">
        <f t="shared" ref="C771:C834" si="99">TEXT(A771,"yyyy")</f>
        <v>2016</v>
      </c>
      <c r="D771" s="3" t="str">
        <f t="shared" ref="D771:D834" si="100">TEXT(A771,"dddd")</f>
        <v>Sunday</v>
      </c>
      <c r="E771">
        <v>174581.67679999999</v>
      </c>
      <c r="F771">
        <v>185040.8173</v>
      </c>
      <c r="G771">
        <v>5089</v>
      </c>
      <c r="H771" s="1">
        <f t="shared" ref="H771:H834" si="101">E771/G771</f>
        <v>34.305694006681072</v>
      </c>
      <c r="I771" s="1" t="str">
        <f t="shared" ref="I771:I834" si="102">IF(H771&lt;PERCENTILE(H771:H1823,0.33),"Low", IF(H771&gt;PERCENTILE(H771:H1823,0.67),"High","Medium"))</f>
        <v>Low</v>
      </c>
      <c r="J771">
        <f t="shared" ref="J771:J834" si="103">(E771-F771)/E771 *100</f>
        <v>-5.9909726448451721</v>
      </c>
      <c r="K771">
        <f t="shared" ref="K771:K834" si="104">F771/G771</f>
        <v>36.36093875024563</v>
      </c>
      <c r="L771">
        <f t="shared" ref="L771:L834" si="105">(H771-K771)/H771 *100</f>
        <v>-5.9909726448451863</v>
      </c>
    </row>
    <row r="772" spans="1:12" x14ac:dyDescent="0.25">
      <c r="A772" s="3">
        <v>42408</v>
      </c>
      <c r="B772" s="3" t="str">
        <f t="shared" si="98"/>
        <v>Feb</v>
      </c>
      <c r="C772" s="3" t="str">
        <f t="shared" si="99"/>
        <v>2016</v>
      </c>
      <c r="D772" s="3" t="str">
        <f t="shared" si="100"/>
        <v>Monday</v>
      </c>
      <c r="E772">
        <v>208489.3694</v>
      </c>
      <c r="F772">
        <v>221372.83689999999</v>
      </c>
      <c r="G772">
        <v>6087</v>
      </c>
      <c r="H772" s="1">
        <f t="shared" si="101"/>
        <v>34.251580318712008</v>
      </c>
      <c r="I772" s="1" t="str">
        <f t="shared" si="102"/>
        <v>Low</v>
      </c>
      <c r="J772">
        <f t="shared" si="103"/>
        <v>-6.1794361684131021</v>
      </c>
      <c r="K772">
        <f t="shared" si="104"/>
        <v>36.368134861179563</v>
      </c>
      <c r="L772">
        <f t="shared" si="105"/>
        <v>-6.1794361684131038</v>
      </c>
    </row>
    <row r="773" spans="1:12" x14ac:dyDescent="0.25">
      <c r="A773" s="3">
        <v>42409</v>
      </c>
      <c r="B773" s="3" t="str">
        <f t="shared" si="98"/>
        <v>Feb</v>
      </c>
      <c r="C773" s="3" t="str">
        <f t="shared" si="99"/>
        <v>2016</v>
      </c>
      <c r="D773" s="3" t="str">
        <f t="shared" si="100"/>
        <v>Tuesday</v>
      </c>
      <c r="E773">
        <v>84495.166670000006</v>
      </c>
      <c r="F773">
        <v>74682.266820000004</v>
      </c>
      <c r="G773">
        <v>2053</v>
      </c>
      <c r="H773" s="1">
        <f t="shared" si="101"/>
        <v>41.156924827082321</v>
      </c>
      <c r="I773" s="1" t="str">
        <f t="shared" si="102"/>
        <v>Medium</v>
      </c>
      <c r="J773">
        <f t="shared" si="103"/>
        <v>11.613563516981699</v>
      </c>
      <c r="K773">
        <f t="shared" si="104"/>
        <v>36.377139220652708</v>
      </c>
      <c r="L773">
        <f t="shared" si="105"/>
        <v>11.613563516981692</v>
      </c>
    </row>
    <row r="774" spans="1:12" x14ac:dyDescent="0.25">
      <c r="A774" s="3">
        <v>42410</v>
      </c>
      <c r="B774" s="3" t="str">
        <f t="shared" si="98"/>
        <v>Feb</v>
      </c>
      <c r="C774" s="3" t="str">
        <f t="shared" si="99"/>
        <v>2016</v>
      </c>
      <c r="D774" s="3" t="str">
        <f t="shared" si="100"/>
        <v>Wednesday</v>
      </c>
      <c r="E774">
        <v>76661.250029999996</v>
      </c>
      <c r="F774">
        <v>66379.563599999994</v>
      </c>
      <c r="G774">
        <v>1825</v>
      </c>
      <c r="H774" s="1">
        <f t="shared" si="101"/>
        <v>42.006164399999996</v>
      </c>
      <c r="I774" s="1" t="str">
        <f t="shared" si="102"/>
        <v>Medium</v>
      </c>
      <c r="J774">
        <f t="shared" si="103"/>
        <v>13.411842914088211</v>
      </c>
      <c r="K774">
        <f t="shared" si="104"/>
        <v>36.372363616438356</v>
      </c>
      <c r="L774">
        <f t="shared" si="105"/>
        <v>13.411842914088201</v>
      </c>
    </row>
    <row r="775" spans="1:12" x14ac:dyDescent="0.25">
      <c r="A775" s="3">
        <v>42411</v>
      </c>
      <c r="B775" s="3" t="str">
        <f t="shared" si="98"/>
        <v>Feb</v>
      </c>
      <c r="C775" s="3" t="str">
        <f t="shared" si="99"/>
        <v>2016</v>
      </c>
      <c r="D775" s="3" t="str">
        <f t="shared" si="100"/>
        <v>Thursday</v>
      </c>
      <c r="E775">
        <v>64034.940459999998</v>
      </c>
      <c r="F775">
        <v>55491.338530000001</v>
      </c>
      <c r="G775">
        <v>1525</v>
      </c>
      <c r="H775" s="1">
        <f t="shared" si="101"/>
        <v>41.990124891803276</v>
      </c>
      <c r="I775" s="1" t="str">
        <f t="shared" si="102"/>
        <v>Medium</v>
      </c>
      <c r="J775">
        <f t="shared" si="103"/>
        <v>13.342093970301782</v>
      </c>
      <c r="K775">
        <f t="shared" si="104"/>
        <v>36.387762970491806</v>
      </c>
      <c r="L775">
        <f t="shared" si="105"/>
        <v>13.342093970301775</v>
      </c>
    </row>
    <row r="776" spans="1:12" x14ac:dyDescent="0.25">
      <c r="A776" s="3">
        <v>42412</v>
      </c>
      <c r="B776" s="3" t="str">
        <f t="shared" si="98"/>
        <v>Feb</v>
      </c>
      <c r="C776" s="3" t="str">
        <f t="shared" si="99"/>
        <v>2016</v>
      </c>
      <c r="D776" s="3" t="str">
        <f t="shared" si="100"/>
        <v>Friday</v>
      </c>
      <c r="E776">
        <v>148839.9749</v>
      </c>
      <c r="F776">
        <v>129583.4921</v>
      </c>
      <c r="G776">
        <v>3542</v>
      </c>
      <c r="H776" s="1">
        <f t="shared" si="101"/>
        <v>42.021449717673633</v>
      </c>
      <c r="I776" s="1" t="str">
        <f t="shared" si="102"/>
        <v>Medium</v>
      </c>
      <c r="J776">
        <f t="shared" si="103"/>
        <v>12.937708981029933</v>
      </c>
      <c r="K776">
        <f t="shared" si="104"/>
        <v>36.584836843591191</v>
      </c>
      <c r="L776">
        <f t="shared" si="105"/>
        <v>12.937708981029941</v>
      </c>
    </row>
    <row r="777" spans="1:12" x14ac:dyDescent="0.25">
      <c r="A777" s="3">
        <v>42413</v>
      </c>
      <c r="B777" s="3" t="str">
        <f t="shared" si="98"/>
        <v>Feb</v>
      </c>
      <c r="C777" s="3" t="str">
        <f t="shared" si="99"/>
        <v>2016</v>
      </c>
      <c r="D777" s="3" t="str">
        <f t="shared" si="100"/>
        <v>Saturday</v>
      </c>
      <c r="E777">
        <v>172541.5079</v>
      </c>
      <c r="F777">
        <v>150538.98370000001</v>
      </c>
      <c r="G777">
        <v>4105</v>
      </c>
      <c r="H777" s="1">
        <f t="shared" si="101"/>
        <v>42.032036029232643</v>
      </c>
      <c r="I777" s="1" t="str">
        <f t="shared" si="102"/>
        <v>Medium</v>
      </c>
      <c r="J777">
        <f t="shared" si="103"/>
        <v>12.752018031946264</v>
      </c>
      <c r="K777">
        <f t="shared" si="104"/>
        <v>36.672103215590745</v>
      </c>
      <c r="L777">
        <f t="shared" si="105"/>
        <v>12.752018031946266</v>
      </c>
    </row>
    <row r="778" spans="1:12" x14ac:dyDescent="0.25">
      <c r="A778" s="3">
        <v>42414</v>
      </c>
      <c r="B778" s="3" t="str">
        <f t="shared" si="98"/>
        <v>Feb</v>
      </c>
      <c r="C778" s="3" t="str">
        <f t="shared" si="99"/>
        <v>2016</v>
      </c>
      <c r="D778" s="3" t="str">
        <f t="shared" si="100"/>
        <v>Sunday</v>
      </c>
      <c r="E778">
        <v>87991.663</v>
      </c>
      <c r="F778">
        <v>76378.504639999999</v>
      </c>
      <c r="G778">
        <v>2094</v>
      </c>
      <c r="H778" s="1">
        <f t="shared" si="101"/>
        <v>42.020851480420248</v>
      </c>
      <c r="I778" s="1" t="str">
        <f t="shared" si="102"/>
        <v>Medium</v>
      </c>
      <c r="J778">
        <f t="shared" si="103"/>
        <v>13.198021226170031</v>
      </c>
      <c r="K778">
        <f t="shared" si="104"/>
        <v>36.474930582616999</v>
      </c>
      <c r="L778">
        <f t="shared" si="105"/>
        <v>13.198021226170034</v>
      </c>
    </row>
    <row r="779" spans="1:12" x14ac:dyDescent="0.25">
      <c r="A779" s="3">
        <v>42415</v>
      </c>
      <c r="B779" s="3" t="str">
        <f t="shared" si="98"/>
        <v>Feb</v>
      </c>
      <c r="C779" s="3" t="str">
        <f t="shared" si="99"/>
        <v>2016</v>
      </c>
      <c r="D779" s="3" t="str">
        <f t="shared" si="100"/>
        <v>Monday</v>
      </c>
      <c r="E779">
        <v>123445.38159999999</v>
      </c>
      <c r="F779">
        <v>108669.2254</v>
      </c>
      <c r="G779">
        <v>2940</v>
      </c>
      <c r="H779" s="1">
        <f t="shared" si="101"/>
        <v>41.988225034013603</v>
      </c>
      <c r="I779" s="1" t="str">
        <f t="shared" si="102"/>
        <v>Medium</v>
      </c>
      <c r="J779">
        <f t="shared" si="103"/>
        <v>11.969792639046773</v>
      </c>
      <c r="K779">
        <f t="shared" si="104"/>
        <v>36.962321564625846</v>
      </c>
      <c r="L779">
        <f t="shared" si="105"/>
        <v>11.969792639046778</v>
      </c>
    </row>
    <row r="780" spans="1:12" x14ac:dyDescent="0.25">
      <c r="A780" s="3">
        <v>42416</v>
      </c>
      <c r="B780" s="3" t="str">
        <f t="shared" si="98"/>
        <v>Feb</v>
      </c>
      <c r="C780" s="3" t="str">
        <f t="shared" si="99"/>
        <v>2016</v>
      </c>
      <c r="D780" s="3" t="str">
        <f t="shared" si="100"/>
        <v>Tuesday</v>
      </c>
      <c r="E780">
        <v>77344.691869999995</v>
      </c>
      <c r="F780">
        <v>68269.24884</v>
      </c>
      <c r="G780">
        <v>1841</v>
      </c>
      <c r="H780" s="1">
        <f t="shared" si="101"/>
        <v>42.012325839217816</v>
      </c>
      <c r="I780" s="1" t="str">
        <f t="shared" si="102"/>
        <v>Medium</v>
      </c>
      <c r="J780">
        <f t="shared" si="103"/>
        <v>11.733763249395173</v>
      </c>
      <c r="K780">
        <f t="shared" si="104"/>
        <v>37.082698989679521</v>
      </c>
      <c r="L780">
        <f t="shared" si="105"/>
        <v>11.73376324939518</v>
      </c>
    </row>
    <row r="781" spans="1:12" x14ac:dyDescent="0.25">
      <c r="A781" s="3">
        <v>42417</v>
      </c>
      <c r="B781" s="3" t="str">
        <f t="shared" si="98"/>
        <v>Feb</v>
      </c>
      <c r="C781" s="3" t="str">
        <f t="shared" si="99"/>
        <v>2016</v>
      </c>
      <c r="D781" s="3" t="str">
        <f t="shared" si="100"/>
        <v>Wednesday</v>
      </c>
      <c r="E781">
        <v>158963.02489999999</v>
      </c>
      <c r="F781">
        <v>167521.52590000001</v>
      </c>
      <c r="G781">
        <v>4529</v>
      </c>
      <c r="H781" s="1">
        <f t="shared" si="101"/>
        <v>35.098923581364538</v>
      </c>
      <c r="I781" s="1" t="str">
        <f t="shared" si="102"/>
        <v>Low</v>
      </c>
      <c r="J781">
        <f t="shared" si="103"/>
        <v>-5.3839570588091012</v>
      </c>
      <c r="K781">
        <f t="shared" si="104"/>
        <v>36.988634555089426</v>
      </c>
      <c r="L781">
        <f t="shared" si="105"/>
        <v>-5.3839570588091012</v>
      </c>
    </row>
    <row r="782" spans="1:12" x14ac:dyDescent="0.25">
      <c r="A782" s="3">
        <v>42418</v>
      </c>
      <c r="B782" s="3" t="str">
        <f t="shared" si="98"/>
        <v>Feb</v>
      </c>
      <c r="C782" s="3" t="str">
        <f t="shared" si="99"/>
        <v>2016</v>
      </c>
      <c r="D782" s="3" t="str">
        <f t="shared" si="100"/>
        <v>Thursday</v>
      </c>
      <c r="E782">
        <v>69598.071150000003</v>
      </c>
      <c r="F782">
        <v>61492.968309999997</v>
      </c>
      <c r="G782">
        <v>1658</v>
      </c>
      <c r="H782" s="1">
        <f t="shared" si="101"/>
        <v>41.977123733413755</v>
      </c>
      <c r="I782" s="1" t="str">
        <f t="shared" si="102"/>
        <v>Medium</v>
      </c>
      <c r="J782">
        <f t="shared" si="103"/>
        <v>11.645585439475225</v>
      </c>
      <c r="K782">
        <f t="shared" si="104"/>
        <v>37.088641924004826</v>
      </c>
      <c r="L782">
        <f t="shared" si="105"/>
        <v>11.645585439475221</v>
      </c>
    </row>
    <row r="783" spans="1:12" x14ac:dyDescent="0.25">
      <c r="A783" s="3">
        <v>42419</v>
      </c>
      <c r="B783" s="3" t="str">
        <f t="shared" si="98"/>
        <v>Feb</v>
      </c>
      <c r="C783" s="3" t="str">
        <f t="shared" si="99"/>
        <v>2016</v>
      </c>
      <c r="D783" s="3" t="str">
        <f t="shared" si="100"/>
        <v>Friday</v>
      </c>
      <c r="E783">
        <v>161275.60219999999</v>
      </c>
      <c r="F783">
        <v>143446.35829999999</v>
      </c>
      <c r="G783">
        <v>3841</v>
      </c>
      <c r="H783" s="1">
        <f t="shared" si="101"/>
        <v>41.987920385316322</v>
      </c>
      <c r="I783" s="1" t="str">
        <f t="shared" si="102"/>
        <v>Medium</v>
      </c>
      <c r="J783">
        <f t="shared" si="103"/>
        <v>11.055140180403557</v>
      </c>
      <c r="K783">
        <f t="shared" si="104"/>
        <v>37.346096927883359</v>
      </c>
      <c r="L783">
        <f t="shared" si="105"/>
        <v>11.055140180403562</v>
      </c>
    </row>
    <row r="784" spans="1:12" x14ac:dyDescent="0.25">
      <c r="A784" s="3">
        <v>42420</v>
      </c>
      <c r="B784" s="3" t="str">
        <f t="shared" si="98"/>
        <v>Feb</v>
      </c>
      <c r="C784" s="3" t="str">
        <f t="shared" si="99"/>
        <v>2016</v>
      </c>
      <c r="D784" s="3" t="str">
        <f t="shared" si="100"/>
        <v>Saturday</v>
      </c>
      <c r="E784">
        <v>325215.07679999998</v>
      </c>
      <c r="F784">
        <v>345446.00180000003</v>
      </c>
      <c r="G784">
        <v>9260</v>
      </c>
      <c r="H784" s="1">
        <f t="shared" si="101"/>
        <v>35.120418660907127</v>
      </c>
      <c r="I784" s="1" t="str">
        <f t="shared" si="102"/>
        <v>Low</v>
      </c>
      <c r="J784">
        <f t="shared" si="103"/>
        <v>-6.2207832426052052</v>
      </c>
      <c r="K784">
        <f t="shared" si="104"/>
        <v>37.305183779697629</v>
      </c>
      <c r="L784">
        <f t="shared" si="105"/>
        <v>-6.2207832426052034</v>
      </c>
    </row>
    <row r="785" spans="1:12" x14ac:dyDescent="0.25">
      <c r="A785" s="3">
        <v>42421</v>
      </c>
      <c r="B785" s="3" t="str">
        <f t="shared" si="98"/>
        <v>Feb</v>
      </c>
      <c r="C785" s="3" t="str">
        <f t="shared" si="99"/>
        <v>2016</v>
      </c>
      <c r="D785" s="3" t="str">
        <f t="shared" si="100"/>
        <v>Sunday</v>
      </c>
      <c r="E785">
        <v>96957.295840000006</v>
      </c>
      <c r="F785">
        <v>86455.494380000004</v>
      </c>
      <c r="G785">
        <v>2308</v>
      </c>
      <c r="H785" s="1">
        <f t="shared" si="101"/>
        <v>42.009226967071058</v>
      </c>
      <c r="I785" s="1" t="str">
        <f t="shared" si="102"/>
        <v>Medium</v>
      </c>
      <c r="J785">
        <f t="shared" si="103"/>
        <v>10.831367942986148</v>
      </c>
      <c r="K785">
        <f t="shared" si="104"/>
        <v>37.459053024263433</v>
      </c>
      <c r="L785">
        <f t="shared" si="105"/>
        <v>10.831367942986143</v>
      </c>
    </row>
    <row r="786" spans="1:12" x14ac:dyDescent="0.25">
      <c r="A786" s="3">
        <v>42422</v>
      </c>
      <c r="B786" s="3" t="str">
        <f t="shared" si="98"/>
        <v>Feb</v>
      </c>
      <c r="C786" s="3" t="str">
        <f t="shared" si="99"/>
        <v>2016</v>
      </c>
      <c r="D786" s="3" t="str">
        <f t="shared" si="100"/>
        <v>Monday</v>
      </c>
      <c r="E786">
        <v>85224.47709</v>
      </c>
      <c r="F786">
        <v>75960.71802</v>
      </c>
      <c r="G786">
        <v>2028</v>
      </c>
      <c r="H786" s="1">
        <f t="shared" si="101"/>
        <v>42.023903890532544</v>
      </c>
      <c r="I786" s="1" t="str">
        <f t="shared" si="102"/>
        <v>Medium</v>
      </c>
      <c r="J786">
        <f t="shared" si="103"/>
        <v>10.869833862655618</v>
      </c>
      <c r="K786">
        <f t="shared" si="104"/>
        <v>37.455975355029587</v>
      </c>
      <c r="L786">
        <f t="shared" si="105"/>
        <v>10.869833862655618</v>
      </c>
    </row>
    <row r="787" spans="1:12" x14ac:dyDescent="0.25">
      <c r="A787" s="3">
        <v>42423</v>
      </c>
      <c r="B787" s="3" t="str">
        <f t="shared" si="98"/>
        <v>Feb</v>
      </c>
      <c r="C787" s="3" t="str">
        <f t="shared" si="99"/>
        <v>2016</v>
      </c>
      <c r="D787" s="3" t="str">
        <f t="shared" si="100"/>
        <v>Tuesday</v>
      </c>
      <c r="E787">
        <v>54612.878839999998</v>
      </c>
      <c r="F787">
        <v>49071.802539999997</v>
      </c>
      <c r="G787">
        <v>1301</v>
      </c>
      <c r="H787" s="1">
        <f t="shared" si="101"/>
        <v>41.977616325903149</v>
      </c>
      <c r="I787" s="1" t="str">
        <f t="shared" si="102"/>
        <v>Medium</v>
      </c>
      <c r="J787">
        <f t="shared" si="103"/>
        <v>10.146098168957103</v>
      </c>
      <c r="K787">
        <f t="shared" si="104"/>
        <v>37.71852616448885</v>
      </c>
      <c r="L787">
        <f t="shared" si="105"/>
        <v>10.146098168957106</v>
      </c>
    </row>
    <row r="788" spans="1:12" x14ac:dyDescent="0.25">
      <c r="A788" s="3">
        <v>42424</v>
      </c>
      <c r="B788" s="3" t="str">
        <f t="shared" si="98"/>
        <v>Feb</v>
      </c>
      <c r="C788" s="3" t="str">
        <f t="shared" si="99"/>
        <v>2016</v>
      </c>
      <c r="D788" s="3" t="str">
        <f t="shared" si="100"/>
        <v>Wednesday</v>
      </c>
      <c r="E788">
        <v>81530.612380000006</v>
      </c>
      <c r="F788">
        <v>81738.05644</v>
      </c>
      <c r="G788">
        <v>2213</v>
      </c>
      <c r="H788" s="1">
        <f t="shared" si="101"/>
        <v>36.841668495255313</v>
      </c>
      <c r="I788" s="1" t="str">
        <f t="shared" si="102"/>
        <v>Medium</v>
      </c>
      <c r="J788">
        <f t="shared" si="103"/>
        <v>-0.25443701935309115</v>
      </c>
      <c r="K788">
        <f t="shared" si="104"/>
        <v>36.935407338454588</v>
      </c>
      <c r="L788">
        <f t="shared" si="105"/>
        <v>-0.25443701935309493</v>
      </c>
    </row>
    <row r="789" spans="1:12" x14ac:dyDescent="0.25">
      <c r="A789" s="3">
        <v>42425</v>
      </c>
      <c r="B789" s="3" t="str">
        <f t="shared" si="98"/>
        <v>Feb</v>
      </c>
      <c r="C789" s="3" t="str">
        <f t="shared" si="99"/>
        <v>2016</v>
      </c>
      <c r="D789" s="3" t="str">
        <f t="shared" si="100"/>
        <v>Thursday</v>
      </c>
      <c r="E789">
        <v>160947.53260000001</v>
      </c>
      <c r="F789">
        <v>162597.49679999999</v>
      </c>
      <c r="G789">
        <v>4404</v>
      </c>
      <c r="H789" s="1">
        <f t="shared" si="101"/>
        <v>36.545761262488647</v>
      </c>
      <c r="I789" s="1" t="str">
        <f t="shared" si="102"/>
        <v>Medium</v>
      </c>
      <c r="J789">
        <f t="shared" si="103"/>
        <v>-1.0251565670786726</v>
      </c>
      <c r="K789">
        <f t="shared" si="104"/>
        <v>36.920412534059942</v>
      </c>
      <c r="L789">
        <f t="shared" si="105"/>
        <v>-1.0251565670786709</v>
      </c>
    </row>
    <row r="790" spans="1:12" x14ac:dyDescent="0.25">
      <c r="A790" s="3">
        <v>42426</v>
      </c>
      <c r="B790" s="3" t="str">
        <f t="shared" si="98"/>
        <v>Feb</v>
      </c>
      <c r="C790" s="3" t="str">
        <f t="shared" si="99"/>
        <v>2016</v>
      </c>
      <c r="D790" s="3" t="str">
        <f t="shared" si="100"/>
        <v>Friday</v>
      </c>
      <c r="E790">
        <v>188736.24739999999</v>
      </c>
      <c r="F790">
        <v>183103.23370000001</v>
      </c>
      <c r="G790">
        <v>4935</v>
      </c>
      <c r="H790" s="1">
        <f t="shared" si="101"/>
        <v>38.244427031408307</v>
      </c>
      <c r="I790" s="1" t="str">
        <f t="shared" si="102"/>
        <v>Medium</v>
      </c>
      <c r="J790">
        <f t="shared" si="103"/>
        <v>2.9845955811877509</v>
      </c>
      <c r="K790">
        <f t="shared" si="104"/>
        <v>37.102985552178318</v>
      </c>
      <c r="L790">
        <f t="shared" si="105"/>
        <v>2.9845955811877598</v>
      </c>
    </row>
    <row r="791" spans="1:12" x14ac:dyDescent="0.25">
      <c r="A791" s="3">
        <v>42427</v>
      </c>
      <c r="B791" s="3" t="str">
        <f t="shared" si="98"/>
        <v>Feb</v>
      </c>
      <c r="C791" s="3" t="str">
        <f t="shared" si="99"/>
        <v>2016</v>
      </c>
      <c r="D791" s="3" t="str">
        <f t="shared" si="100"/>
        <v>Saturday</v>
      </c>
      <c r="E791">
        <v>215951.5079</v>
      </c>
      <c r="F791">
        <v>210032.78810000001</v>
      </c>
      <c r="G791">
        <v>5609</v>
      </c>
      <c r="H791" s="1">
        <f t="shared" si="101"/>
        <v>38.500892832947052</v>
      </c>
      <c r="I791" s="1" t="str">
        <f t="shared" si="102"/>
        <v>Medium</v>
      </c>
      <c r="J791">
        <f t="shared" si="103"/>
        <v>2.7407633581983393</v>
      </c>
      <c r="K791">
        <f t="shared" si="104"/>
        <v>37.445674469602423</v>
      </c>
      <c r="L791">
        <f t="shared" si="105"/>
        <v>2.7407633581983544</v>
      </c>
    </row>
    <row r="792" spans="1:12" x14ac:dyDescent="0.25">
      <c r="A792" s="3">
        <v>42428</v>
      </c>
      <c r="B792" s="3" t="str">
        <f t="shared" si="98"/>
        <v>Feb</v>
      </c>
      <c r="C792" s="3" t="str">
        <f t="shared" si="99"/>
        <v>2016</v>
      </c>
      <c r="D792" s="3" t="str">
        <f t="shared" si="100"/>
        <v>Sunday</v>
      </c>
      <c r="E792">
        <v>134995.85449999999</v>
      </c>
      <c r="F792">
        <v>129938.7058</v>
      </c>
      <c r="G792">
        <v>3452</v>
      </c>
      <c r="H792" s="1">
        <f t="shared" si="101"/>
        <v>39.106562717265348</v>
      </c>
      <c r="I792" s="1" t="str">
        <f t="shared" si="102"/>
        <v>Medium</v>
      </c>
      <c r="J792">
        <f t="shared" si="103"/>
        <v>3.7461511086623709</v>
      </c>
      <c r="K792">
        <f t="shared" si="104"/>
        <v>37.641571784472767</v>
      </c>
      <c r="L792">
        <f t="shared" si="105"/>
        <v>3.7461511086623709</v>
      </c>
    </row>
    <row r="793" spans="1:12" x14ac:dyDescent="0.25">
      <c r="A793" s="3">
        <v>42429</v>
      </c>
      <c r="B793" s="3" t="str">
        <f t="shared" si="98"/>
        <v>Feb</v>
      </c>
      <c r="C793" s="3" t="str">
        <f t="shared" si="99"/>
        <v>2016</v>
      </c>
      <c r="D793" s="3" t="str">
        <f t="shared" si="100"/>
        <v>Monday</v>
      </c>
      <c r="E793">
        <v>163079.378</v>
      </c>
      <c r="F793">
        <v>160332.5894</v>
      </c>
      <c r="G793">
        <v>4270</v>
      </c>
      <c r="H793" s="1">
        <f t="shared" si="101"/>
        <v>38.191891803278686</v>
      </c>
      <c r="I793" s="1" t="str">
        <f t="shared" si="102"/>
        <v>Medium</v>
      </c>
      <c r="J793">
        <f t="shared" si="103"/>
        <v>1.6843261445355771</v>
      </c>
      <c r="K793">
        <f t="shared" si="104"/>
        <v>37.548615784543323</v>
      </c>
      <c r="L793">
        <f t="shared" si="105"/>
        <v>1.6843261445355788</v>
      </c>
    </row>
    <row r="794" spans="1:12" x14ac:dyDescent="0.25">
      <c r="A794" s="3">
        <v>42430</v>
      </c>
      <c r="B794" s="3" t="str">
        <f t="shared" si="98"/>
        <v>Mar</v>
      </c>
      <c r="C794" s="3" t="str">
        <f t="shared" si="99"/>
        <v>2016</v>
      </c>
      <c r="D794" s="3" t="str">
        <f t="shared" si="100"/>
        <v>Tuesday</v>
      </c>
      <c r="E794">
        <v>180828.6741</v>
      </c>
      <c r="F794">
        <v>182962.337</v>
      </c>
      <c r="G794">
        <v>4719</v>
      </c>
      <c r="H794" s="1">
        <f t="shared" si="101"/>
        <v>38.319278258105534</v>
      </c>
      <c r="I794" s="1" t="str">
        <f t="shared" si="102"/>
        <v>Medium</v>
      </c>
      <c r="J794">
        <f t="shared" si="103"/>
        <v>-1.1799361526148555</v>
      </c>
      <c r="K794">
        <f t="shared" si="104"/>
        <v>38.771421275694003</v>
      </c>
      <c r="L794">
        <f t="shared" si="105"/>
        <v>-1.1799361526148493</v>
      </c>
    </row>
    <row r="795" spans="1:12" x14ac:dyDescent="0.25">
      <c r="A795" s="3">
        <v>42431</v>
      </c>
      <c r="B795" s="3" t="str">
        <f t="shared" si="98"/>
        <v>Mar</v>
      </c>
      <c r="C795" s="3" t="str">
        <f t="shared" si="99"/>
        <v>2016</v>
      </c>
      <c r="D795" s="3" t="str">
        <f t="shared" si="100"/>
        <v>Wednesday</v>
      </c>
      <c r="E795">
        <v>171196.1752</v>
      </c>
      <c r="F795">
        <v>174428.68090000001</v>
      </c>
      <c r="G795">
        <v>4451</v>
      </c>
      <c r="H795" s="1">
        <f t="shared" si="101"/>
        <v>38.462407369130531</v>
      </c>
      <c r="I795" s="1" t="str">
        <f t="shared" si="102"/>
        <v>Medium</v>
      </c>
      <c r="J795">
        <f t="shared" si="103"/>
        <v>-1.8881880370420849</v>
      </c>
      <c r="K795">
        <f t="shared" si="104"/>
        <v>39.18864994383285</v>
      </c>
      <c r="L795">
        <f t="shared" si="105"/>
        <v>-1.888188037042092</v>
      </c>
    </row>
    <row r="796" spans="1:12" x14ac:dyDescent="0.25">
      <c r="A796" s="3">
        <v>42432</v>
      </c>
      <c r="B796" s="3" t="str">
        <f t="shared" si="98"/>
        <v>Mar</v>
      </c>
      <c r="C796" s="3" t="str">
        <f t="shared" si="99"/>
        <v>2016</v>
      </c>
      <c r="D796" s="3" t="str">
        <f t="shared" si="100"/>
        <v>Thursday</v>
      </c>
      <c r="E796">
        <v>129719.0505</v>
      </c>
      <c r="F796">
        <v>131961.9325</v>
      </c>
      <c r="G796">
        <v>3364</v>
      </c>
      <c r="H796" s="1">
        <f t="shared" si="101"/>
        <v>38.560954369797862</v>
      </c>
      <c r="I796" s="1" t="str">
        <f t="shared" si="102"/>
        <v>Medium</v>
      </c>
      <c r="J796">
        <f t="shared" si="103"/>
        <v>-1.7290305405064599</v>
      </c>
      <c r="K796">
        <f t="shared" si="104"/>
        <v>39.227685047562424</v>
      </c>
      <c r="L796">
        <f t="shared" si="105"/>
        <v>-1.7290305405064514</v>
      </c>
    </row>
    <row r="797" spans="1:12" x14ac:dyDescent="0.25">
      <c r="A797" s="3">
        <v>42433</v>
      </c>
      <c r="B797" s="3" t="str">
        <f t="shared" si="98"/>
        <v>Mar</v>
      </c>
      <c r="C797" s="3" t="str">
        <f t="shared" si="99"/>
        <v>2016</v>
      </c>
      <c r="D797" s="3" t="str">
        <f t="shared" si="100"/>
        <v>Friday</v>
      </c>
      <c r="E797">
        <v>142127.6421</v>
      </c>
      <c r="F797">
        <v>144039.4137</v>
      </c>
      <c r="G797">
        <v>3665</v>
      </c>
      <c r="H797" s="1">
        <f t="shared" si="101"/>
        <v>38.779711350613915</v>
      </c>
      <c r="I797" s="1" t="str">
        <f t="shared" si="102"/>
        <v>Medium</v>
      </c>
      <c r="J797">
        <f t="shared" si="103"/>
        <v>-1.3451089258589815</v>
      </c>
      <c r="K797">
        <f t="shared" si="104"/>
        <v>39.301340709413374</v>
      </c>
      <c r="L797">
        <f t="shared" si="105"/>
        <v>-1.345108925858987</v>
      </c>
    </row>
    <row r="798" spans="1:12" x14ac:dyDescent="0.25">
      <c r="A798" s="3">
        <v>42434</v>
      </c>
      <c r="B798" s="3" t="str">
        <f t="shared" si="98"/>
        <v>Mar</v>
      </c>
      <c r="C798" s="3" t="str">
        <f t="shared" si="99"/>
        <v>2016</v>
      </c>
      <c r="D798" s="3" t="str">
        <f t="shared" si="100"/>
        <v>Saturday</v>
      </c>
      <c r="E798">
        <v>152124.40789999999</v>
      </c>
      <c r="F798">
        <v>153377.51199999999</v>
      </c>
      <c r="G798">
        <v>3889</v>
      </c>
      <c r="H798" s="1">
        <f t="shared" si="101"/>
        <v>39.116587271792234</v>
      </c>
      <c r="I798" s="1" t="str">
        <f t="shared" si="102"/>
        <v>Medium</v>
      </c>
      <c r="J798">
        <f t="shared" si="103"/>
        <v>-0.82373638609244959</v>
      </c>
      <c r="K798">
        <f t="shared" si="104"/>
        <v>39.438804834147589</v>
      </c>
      <c r="L798">
        <f t="shared" si="105"/>
        <v>-0.8237363860924366</v>
      </c>
    </row>
    <row r="799" spans="1:12" x14ac:dyDescent="0.25">
      <c r="A799" s="3">
        <v>42435</v>
      </c>
      <c r="B799" s="3" t="str">
        <f t="shared" si="98"/>
        <v>Mar</v>
      </c>
      <c r="C799" s="3" t="str">
        <f t="shared" si="99"/>
        <v>2016</v>
      </c>
      <c r="D799" s="3" t="str">
        <f t="shared" si="100"/>
        <v>Sunday</v>
      </c>
      <c r="E799">
        <v>74132.787020000003</v>
      </c>
      <c r="F799">
        <v>74332.279479999997</v>
      </c>
      <c r="G799">
        <v>1882</v>
      </c>
      <c r="H799" s="1">
        <f t="shared" si="101"/>
        <v>39.390428809776836</v>
      </c>
      <c r="I799" s="1" t="str">
        <f t="shared" si="102"/>
        <v>Medium</v>
      </c>
      <c r="J799">
        <f t="shared" si="103"/>
        <v>-0.2691015244660554</v>
      </c>
      <c r="K799">
        <f t="shared" si="104"/>
        <v>39.496429054197662</v>
      </c>
      <c r="L799">
        <f t="shared" si="105"/>
        <v>-0.26910152446605745</v>
      </c>
    </row>
    <row r="800" spans="1:12" x14ac:dyDescent="0.25">
      <c r="A800" s="3">
        <v>42436</v>
      </c>
      <c r="B800" s="3" t="str">
        <f t="shared" si="98"/>
        <v>Mar</v>
      </c>
      <c r="C800" s="3" t="str">
        <f t="shared" si="99"/>
        <v>2016</v>
      </c>
      <c r="D800" s="3" t="str">
        <f t="shared" si="100"/>
        <v>Monday</v>
      </c>
      <c r="E800">
        <v>91143.028609999994</v>
      </c>
      <c r="F800">
        <v>95167.528730000005</v>
      </c>
      <c r="G800">
        <v>2405</v>
      </c>
      <c r="H800" s="1">
        <f t="shared" si="101"/>
        <v>37.897309193347191</v>
      </c>
      <c r="I800" s="1" t="str">
        <f t="shared" si="102"/>
        <v>Medium</v>
      </c>
      <c r="J800">
        <f t="shared" si="103"/>
        <v>-4.4155874358979252</v>
      </c>
      <c r="K800">
        <f t="shared" si="104"/>
        <v>39.570698016632022</v>
      </c>
      <c r="L800">
        <f t="shared" si="105"/>
        <v>-4.415587435897935</v>
      </c>
    </row>
    <row r="801" spans="1:12" x14ac:dyDescent="0.25">
      <c r="A801" s="3">
        <v>42437</v>
      </c>
      <c r="B801" s="3" t="str">
        <f t="shared" si="98"/>
        <v>Mar</v>
      </c>
      <c r="C801" s="3" t="str">
        <f t="shared" si="99"/>
        <v>2016</v>
      </c>
      <c r="D801" s="3" t="str">
        <f t="shared" si="100"/>
        <v>Tuesday</v>
      </c>
      <c r="E801">
        <v>60528.093359999999</v>
      </c>
      <c r="F801">
        <v>62342.881170000001</v>
      </c>
      <c r="G801">
        <v>1577</v>
      </c>
      <c r="H801" s="1">
        <f t="shared" si="101"/>
        <v>38.381796677235258</v>
      </c>
      <c r="I801" s="1" t="str">
        <f t="shared" si="102"/>
        <v>Medium</v>
      </c>
      <c r="J801">
        <f t="shared" si="103"/>
        <v>-2.998257022910463</v>
      </c>
      <c r="K801">
        <f t="shared" si="104"/>
        <v>39.532581591629679</v>
      </c>
      <c r="L801">
        <f t="shared" si="105"/>
        <v>-2.9982570229104644</v>
      </c>
    </row>
    <row r="802" spans="1:12" x14ac:dyDescent="0.25">
      <c r="A802" s="3">
        <v>42438</v>
      </c>
      <c r="B802" s="3" t="str">
        <f t="shared" si="98"/>
        <v>Mar</v>
      </c>
      <c r="C802" s="3" t="str">
        <f t="shared" si="99"/>
        <v>2016</v>
      </c>
      <c r="D802" s="3" t="str">
        <f t="shared" si="100"/>
        <v>Wednesday</v>
      </c>
      <c r="E802">
        <v>38340.599609999997</v>
      </c>
      <c r="F802">
        <v>35918.335149999999</v>
      </c>
      <c r="G802">
        <v>913</v>
      </c>
      <c r="H802" s="1">
        <f t="shared" si="101"/>
        <v>41.99408500547645</v>
      </c>
      <c r="I802" s="1" t="str">
        <f t="shared" si="102"/>
        <v>Medium</v>
      </c>
      <c r="J802">
        <f t="shared" si="103"/>
        <v>6.3177532032342638</v>
      </c>
      <c r="K802">
        <f t="shared" si="104"/>
        <v>39.341002354874043</v>
      </c>
      <c r="L802">
        <f t="shared" si="105"/>
        <v>6.3177532032342612</v>
      </c>
    </row>
    <row r="803" spans="1:12" x14ac:dyDescent="0.25">
      <c r="A803" s="3">
        <v>42439</v>
      </c>
      <c r="B803" s="3" t="str">
        <f t="shared" si="98"/>
        <v>Mar</v>
      </c>
      <c r="C803" s="3" t="str">
        <f t="shared" si="99"/>
        <v>2016</v>
      </c>
      <c r="D803" s="3" t="str">
        <f t="shared" si="100"/>
        <v>Thursday</v>
      </c>
      <c r="E803">
        <v>37453.006179999997</v>
      </c>
      <c r="F803">
        <v>35108.200109999998</v>
      </c>
      <c r="G803">
        <v>892</v>
      </c>
      <c r="H803" s="1">
        <f t="shared" si="101"/>
        <v>41.987675089686093</v>
      </c>
      <c r="I803" s="1" t="str">
        <f t="shared" si="102"/>
        <v>Medium</v>
      </c>
      <c r="J803">
        <f t="shared" si="103"/>
        <v>6.2606618510962981</v>
      </c>
      <c r="K803">
        <f t="shared" si="104"/>
        <v>39.358968733183858</v>
      </c>
      <c r="L803">
        <f t="shared" si="105"/>
        <v>6.2606618510962848</v>
      </c>
    </row>
    <row r="804" spans="1:12" x14ac:dyDescent="0.25">
      <c r="A804" s="3">
        <v>42440</v>
      </c>
      <c r="B804" s="3" t="str">
        <f t="shared" si="98"/>
        <v>Mar</v>
      </c>
      <c r="C804" s="3" t="str">
        <f t="shared" si="99"/>
        <v>2016</v>
      </c>
      <c r="D804" s="3" t="str">
        <f t="shared" si="100"/>
        <v>Friday</v>
      </c>
      <c r="E804">
        <v>77997.045010000002</v>
      </c>
      <c r="F804">
        <v>73051.675539999997</v>
      </c>
      <c r="G804">
        <v>1855</v>
      </c>
      <c r="H804" s="1">
        <f t="shared" si="101"/>
        <v>42.046924533692724</v>
      </c>
      <c r="I804" s="1" t="str">
        <f t="shared" si="102"/>
        <v>Medium</v>
      </c>
      <c r="J804">
        <f t="shared" si="103"/>
        <v>6.3404574742106696</v>
      </c>
      <c r="K804">
        <f t="shared" si="104"/>
        <v>39.380957164420487</v>
      </c>
      <c r="L804">
        <f t="shared" si="105"/>
        <v>6.3404574742106643</v>
      </c>
    </row>
    <row r="805" spans="1:12" x14ac:dyDescent="0.25">
      <c r="A805" s="3">
        <v>42441</v>
      </c>
      <c r="B805" s="3" t="str">
        <f t="shared" si="98"/>
        <v>Mar</v>
      </c>
      <c r="C805" s="3" t="str">
        <f t="shared" si="99"/>
        <v>2016</v>
      </c>
      <c r="D805" s="3" t="str">
        <f t="shared" si="100"/>
        <v>Saturday</v>
      </c>
      <c r="E805">
        <v>79752.282680000004</v>
      </c>
      <c r="F805">
        <v>74962.816399999996</v>
      </c>
      <c r="G805">
        <v>1897</v>
      </c>
      <c r="H805" s="1">
        <f t="shared" si="101"/>
        <v>42.041266568265684</v>
      </c>
      <c r="I805" s="1" t="str">
        <f t="shared" si="102"/>
        <v>Medium</v>
      </c>
      <c r="J805">
        <f t="shared" si="103"/>
        <v>6.0054284580384723</v>
      </c>
      <c r="K805">
        <f t="shared" si="104"/>
        <v>39.516508381655242</v>
      </c>
      <c r="L805">
        <f t="shared" si="105"/>
        <v>6.0054284580384714</v>
      </c>
    </row>
    <row r="806" spans="1:12" x14ac:dyDescent="0.25">
      <c r="A806" s="3">
        <v>42442</v>
      </c>
      <c r="B806" s="3" t="str">
        <f t="shared" si="98"/>
        <v>Mar</v>
      </c>
      <c r="C806" s="3" t="str">
        <f t="shared" si="99"/>
        <v>2016</v>
      </c>
      <c r="D806" s="3" t="str">
        <f t="shared" si="100"/>
        <v>Sunday</v>
      </c>
      <c r="E806">
        <v>37155.588479999999</v>
      </c>
      <c r="F806">
        <v>34962.830499999996</v>
      </c>
      <c r="G806">
        <v>883</v>
      </c>
      <c r="H806" s="1">
        <f t="shared" si="101"/>
        <v>42.078809150622874</v>
      </c>
      <c r="I806" s="1" t="str">
        <f t="shared" si="102"/>
        <v>High</v>
      </c>
      <c r="J806">
        <f t="shared" si="103"/>
        <v>5.9015563195300036</v>
      </c>
      <c r="K806">
        <f t="shared" si="104"/>
        <v>39.595504530011318</v>
      </c>
      <c r="L806">
        <f t="shared" si="105"/>
        <v>5.901556319530008</v>
      </c>
    </row>
    <row r="807" spans="1:12" x14ac:dyDescent="0.25">
      <c r="A807" s="3">
        <v>42443</v>
      </c>
      <c r="B807" s="3" t="str">
        <f t="shared" si="98"/>
        <v>Mar</v>
      </c>
      <c r="C807" s="3" t="str">
        <f t="shared" si="99"/>
        <v>2016</v>
      </c>
      <c r="D807" s="3" t="str">
        <f t="shared" si="100"/>
        <v>Monday</v>
      </c>
      <c r="E807">
        <v>45046.513209999997</v>
      </c>
      <c r="F807">
        <v>42368.04535</v>
      </c>
      <c r="G807">
        <v>1071</v>
      </c>
      <c r="H807" s="1">
        <f t="shared" si="101"/>
        <v>42.060236423902893</v>
      </c>
      <c r="I807" s="1" t="str">
        <f t="shared" si="102"/>
        <v>High</v>
      </c>
      <c r="J807">
        <f t="shared" si="103"/>
        <v>5.9460048495060809</v>
      </c>
      <c r="K807">
        <f t="shared" si="104"/>
        <v>39.559332726423904</v>
      </c>
      <c r="L807">
        <f t="shared" si="105"/>
        <v>5.9460048495060818</v>
      </c>
    </row>
    <row r="808" spans="1:12" x14ac:dyDescent="0.25">
      <c r="A808" s="3">
        <v>42444</v>
      </c>
      <c r="B808" s="3" t="str">
        <f t="shared" si="98"/>
        <v>Mar</v>
      </c>
      <c r="C808" s="3" t="str">
        <f t="shared" si="99"/>
        <v>2016</v>
      </c>
      <c r="D808" s="3" t="str">
        <f t="shared" si="100"/>
        <v>Tuesday</v>
      </c>
      <c r="E808">
        <v>55489.332759999998</v>
      </c>
      <c r="F808">
        <v>52263.056989999997</v>
      </c>
      <c r="G808">
        <v>1320</v>
      </c>
      <c r="H808" s="1">
        <f t="shared" si="101"/>
        <v>42.0373733030303</v>
      </c>
      <c r="I808" s="1" t="str">
        <f t="shared" si="102"/>
        <v>Medium</v>
      </c>
      <c r="J808">
        <f t="shared" si="103"/>
        <v>5.8142270045922979</v>
      </c>
      <c r="K808">
        <f t="shared" si="104"/>
        <v>39.59322499242424</v>
      </c>
      <c r="L808">
        <f t="shared" si="105"/>
        <v>5.8142270045922961</v>
      </c>
    </row>
    <row r="809" spans="1:12" x14ac:dyDescent="0.25">
      <c r="A809" s="3">
        <v>42445</v>
      </c>
      <c r="B809" s="3" t="str">
        <f t="shared" si="98"/>
        <v>Mar</v>
      </c>
      <c r="C809" s="3" t="str">
        <f t="shared" si="99"/>
        <v>2016</v>
      </c>
      <c r="D809" s="3" t="str">
        <f t="shared" si="100"/>
        <v>Wednesday</v>
      </c>
      <c r="E809">
        <v>41893.303160000003</v>
      </c>
      <c r="F809">
        <v>39495.455900000001</v>
      </c>
      <c r="G809">
        <v>997</v>
      </c>
      <c r="H809" s="1">
        <f t="shared" si="101"/>
        <v>42.019361243731197</v>
      </c>
      <c r="I809" s="1" t="str">
        <f t="shared" si="102"/>
        <v>Medium</v>
      </c>
      <c r="J809">
        <f t="shared" si="103"/>
        <v>5.7237006374075614</v>
      </c>
      <c r="K809">
        <f t="shared" si="104"/>
        <v>39.614298796389171</v>
      </c>
      <c r="L809">
        <f t="shared" si="105"/>
        <v>5.7237006374075552</v>
      </c>
    </row>
    <row r="810" spans="1:12" x14ac:dyDescent="0.25">
      <c r="A810" s="3">
        <v>42446</v>
      </c>
      <c r="B810" s="3" t="str">
        <f t="shared" si="98"/>
        <v>Mar</v>
      </c>
      <c r="C810" s="3" t="str">
        <f t="shared" si="99"/>
        <v>2016</v>
      </c>
      <c r="D810" s="3" t="str">
        <f t="shared" si="100"/>
        <v>Thursday</v>
      </c>
      <c r="E810">
        <v>34348.50419</v>
      </c>
      <c r="F810">
        <v>32292.837599999999</v>
      </c>
      <c r="G810">
        <v>817</v>
      </c>
      <c r="H810" s="1">
        <f t="shared" si="101"/>
        <v>42.042232790697675</v>
      </c>
      <c r="I810" s="1" t="str">
        <f t="shared" si="102"/>
        <v>Medium</v>
      </c>
      <c r="J810">
        <f t="shared" si="103"/>
        <v>5.9847339454114401</v>
      </c>
      <c r="K810">
        <f t="shared" si="104"/>
        <v>39.526117013463889</v>
      </c>
      <c r="L810">
        <f t="shared" si="105"/>
        <v>5.9847339454114472</v>
      </c>
    </row>
    <row r="811" spans="1:12" x14ac:dyDescent="0.25">
      <c r="A811" s="3">
        <v>42447</v>
      </c>
      <c r="B811" s="3" t="str">
        <f t="shared" si="98"/>
        <v>Mar</v>
      </c>
      <c r="C811" s="3" t="str">
        <f t="shared" si="99"/>
        <v>2016</v>
      </c>
      <c r="D811" s="3" t="str">
        <f t="shared" si="100"/>
        <v>Friday</v>
      </c>
      <c r="E811">
        <v>78276.831219999993</v>
      </c>
      <c r="F811">
        <v>73746.758709999995</v>
      </c>
      <c r="G811">
        <v>1866</v>
      </c>
      <c r="H811" s="1">
        <f t="shared" si="101"/>
        <v>41.948998510182207</v>
      </c>
      <c r="I811" s="1" t="str">
        <f t="shared" si="102"/>
        <v>Medium</v>
      </c>
      <c r="J811">
        <f t="shared" si="103"/>
        <v>5.7872456503356124</v>
      </c>
      <c r="K811">
        <f t="shared" si="104"/>
        <v>39.521306918542336</v>
      </c>
      <c r="L811">
        <f t="shared" si="105"/>
        <v>5.7872456503356124</v>
      </c>
    </row>
    <row r="812" spans="1:12" x14ac:dyDescent="0.25">
      <c r="A812" s="3">
        <v>42448</v>
      </c>
      <c r="B812" s="3" t="str">
        <f t="shared" si="98"/>
        <v>Mar</v>
      </c>
      <c r="C812" s="3" t="str">
        <f t="shared" si="99"/>
        <v>2016</v>
      </c>
      <c r="D812" s="3" t="str">
        <f t="shared" si="100"/>
        <v>Saturday</v>
      </c>
      <c r="E812">
        <v>92851.402660000007</v>
      </c>
      <c r="F812">
        <v>87451.566179999994</v>
      </c>
      <c r="G812">
        <v>2211</v>
      </c>
      <c r="H812" s="1">
        <f t="shared" si="101"/>
        <v>41.995206992311175</v>
      </c>
      <c r="I812" s="1" t="str">
        <f t="shared" si="102"/>
        <v>Medium</v>
      </c>
      <c r="J812">
        <f t="shared" si="103"/>
        <v>5.815568020843954</v>
      </c>
      <c r="K812">
        <f t="shared" si="104"/>
        <v>39.552947164179102</v>
      </c>
      <c r="L812">
        <f t="shared" si="105"/>
        <v>5.8155680208439549</v>
      </c>
    </row>
    <row r="813" spans="1:12" x14ac:dyDescent="0.25">
      <c r="A813" s="3">
        <v>42449</v>
      </c>
      <c r="B813" s="3" t="str">
        <f t="shared" si="98"/>
        <v>Mar</v>
      </c>
      <c r="C813" s="3" t="str">
        <f t="shared" si="99"/>
        <v>2016</v>
      </c>
      <c r="D813" s="3" t="str">
        <f t="shared" si="100"/>
        <v>Sunday</v>
      </c>
      <c r="E813">
        <v>54845.789299999997</v>
      </c>
      <c r="F813">
        <v>51625.511720000002</v>
      </c>
      <c r="G813">
        <v>1304</v>
      </c>
      <c r="H813" s="1">
        <f t="shared" si="101"/>
        <v>42.059654371165642</v>
      </c>
      <c r="I813" s="1" t="str">
        <f t="shared" si="102"/>
        <v>High</v>
      </c>
      <c r="J813">
        <f t="shared" si="103"/>
        <v>5.8715128747358447</v>
      </c>
      <c r="K813">
        <f t="shared" si="104"/>
        <v>39.590116349693254</v>
      </c>
      <c r="L813">
        <f t="shared" si="105"/>
        <v>5.8715128747358447</v>
      </c>
    </row>
    <row r="814" spans="1:12" x14ac:dyDescent="0.25">
      <c r="A814" s="3">
        <v>42450</v>
      </c>
      <c r="B814" s="3" t="str">
        <f t="shared" si="98"/>
        <v>Mar</v>
      </c>
      <c r="C814" s="3" t="str">
        <f t="shared" si="99"/>
        <v>2016</v>
      </c>
      <c r="D814" s="3" t="str">
        <f t="shared" si="100"/>
        <v>Monday</v>
      </c>
      <c r="E814">
        <v>48037.799899999998</v>
      </c>
      <c r="F814">
        <v>45187.641580000003</v>
      </c>
      <c r="G814">
        <v>1143</v>
      </c>
      <c r="H814" s="1">
        <f t="shared" si="101"/>
        <v>42.027821434820645</v>
      </c>
      <c r="I814" s="1" t="str">
        <f t="shared" si="102"/>
        <v>Medium</v>
      </c>
      <c r="J814">
        <f t="shared" si="103"/>
        <v>5.9331574841752799</v>
      </c>
      <c r="K814">
        <f t="shared" si="104"/>
        <v>39.534244601924762</v>
      </c>
      <c r="L814">
        <f t="shared" si="105"/>
        <v>5.9331574841752781</v>
      </c>
    </row>
    <row r="815" spans="1:12" x14ac:dyDescent="0.25">
      <c r="A815" s="3">
        <v>42451</v>
      </c>
      <c r="B815" s="3" t="str">
        <f t="shared" si="98"/>
        <v>Mar</v>
      </c>
      <c r="C815" s="3" t="str">
        <f t="shared" si="99"/>
        <v>2016</v>
      </c>
      <c r="D815" s="3" t="str">
        <f t="shared" si="100"/>
        <v>Tuesday</v>
      </c>
      <c r="E815">
        <v>65905.723259999999</v>
      </c>
      <c r="F815">
        <v>62023.881300000001</v>
      </c>
      <c r="G815">
        <v>1573</v>
      </c>
      <c r="H815" s="1">
        <f t="shared" si="101"/>
        <v>41.898107603305782</v>
      </c>
      <c r="I815" s="1" t="str">
        <f t="shared" si="102"/>
        <v>Medium</v>
      </c>
      <c r="J815">
        <f t="shared" si="103"/>
        <v>5.8899922009595711</v>
      </c>
      <c r="K815">
        <f t="shared" si="104"/>
        <v>39.430312333121428</v>
      </c>
      <c r="L815">
        <f t="shared" si="105"/>
        <v>5.8899922009595569</v>
      </c>
    </row>
    <row r="816" spans="1:12" x14ac:dyDescent="0.25">
      <c r="A816" s="3">
        <v>42452</v>
      </c>
      <c r="B816" s="3" t="str">
        <f t="shared" si="98"/>
        <v>Mar</v>
      </c>
      <c r="C816" s="3" t="str">
        <f t="shared" si="99"/>
        <v>2016</v>
      </c>
      <c r="D816" s="3" t="str">
        <f t="shared" si="100"/>
        <v>Wednesday</v>
      </c>
      <c r="E816">
        <v>84870.051300000006</v>
      </c>
      <c r="F816">
        <v>81472.827179999993</v>
      </c>
      <c r="G816">
        <v>2065</v>
      </c>
      <c r="H816" s="1">
        <f t="shared" si="101"/>
        <v>41.0992984503632</v>
      </c>
      <c r="I816" s="1" t="str">
        <f t="shared" si="102"/>
        <v>Medium</v>
      </c>
      <c r="J816">
        <f t="shared" si="103"/>
        <v>4.0028538547613834</v>
      </c>
      <c r="K816">
        <f t="shared" si="104"/>
        <v>39.454153598062952</v>
      </c>
      <c r="L816">
        <f t="shared" si="105"/>
        <v>4.0028538547613817</v>
      </c>
    </row>
    <row r="817" spans="1:12" x14ac:dyDescent="0.25">
      <c r="A817" s="3">
        <v>42453</v>
      </c>
      <c r="B817" s="3" t="str">
        <f t="shared" si="98"/>
        <v>Mar</v>
      </c>
      <c r="C817" s="3" t="str">
        <f t="shared" si="99"/>
        <v>2016</v>
      </c>
      <c r="D817" s="3" t="str">
        <f t="shared" si="100"/>
        <v>Thursday</v>
      </c>
      <c r="E817">
        <v>262459.50569999998</v>
      </c>
      <c r="F817">
        <v>259298.4566</v>
      </c>
      <c r="G817">
        <v>6588</v>
      </c>
      <c r="H817" s="1">
        <f t="shared" si="101"/>
        <v>39.839026366120216</v>
      </c>
      <c r="I817" s="1" t="str">
        <f t="shared" si="102"/>
        <v>Medium</v>
      </c>
      <c r="J817">
        <f t="shared" si="103"/>
        <v>1.2043949757389087</v>
      </c>
      <c r="K817">
        <f t="shared" si="104"/>
        <v>39.359207134183364</v>
      </c>
      <c r="L817">
        <f t="shared" si="105"/>
        <v>1.204394975738909</v>
      </c>
    </row>
    <row r="818" spans="1:12" x14ac:dyDescent="0.25">
      <c r="A818" s="3">
        <v>42454</v>
      </c>
      <c r="B818" s="3" t="str">
        <f t="shared" si="98"/>
        <v>Mar</v>
      </c>
      <c r="C818" s="3" t="str">
        <f t="shared" si="99"/>
        <v>2016</v>
      </c>
      <c r="D818" s="3" t="str">
        <f t="shared" si="100"/>
        <v>Friday</v>
      </c>
      <c r="E818">
        <v>228124.39799999999</v>
      </c>
      <c r="F818">
        <v>222208.3504</v>
      </c>
      <c r="G818">
        <v>5652</v>
      </c>
      <c r="H818" s="1">
        <f t="shared" si="101"/>
        <v>40.361712314225052</v>
      </c>
      <c r="I818" s="1" t="str">
        <f t="shared" si="102"/>
        <v>Medium</v>
      </c>
      <c r="J818">
        <f t="shared" si="103"/>
        <v>2.5933427778294855</v>
      </c>
      <c r="K818">
        <f t="shared" si="104"/>
        <v>39.314994762915781</v>
      </c>
      <c r="L818">
        <f t="shared" si="105"/>
        <v>2.59334277782949</v>
      </c>
    </row>
    <row r="819" spans="1:12" x14ac:dyDescent="0.25">
      <c r="A819" s="3">
        <v>42455</v>
      </c>
      <c r="B819" s="3" t="str">
        <f t="shared" si="98"/>
        <v>Mar</v>
      </c>
      <c r="C819" s="3" t="str">
        <f t="shared" si="99"/>
        <v>2016</v>
      </c>
      <c r="D819" s="3" t="str">
        <f t="shared" si="100"/>
        <v>Saturday</v>
      </c>
      <c r="E819">
        <v>162929.4921</v>
      </c>
      <c r="F819">
        <v>161434.81510000001</v>
      </c>
      <c r="G819">
        <v>4103</v>
      </c>
      <c r="H819" s="1">
        <f t="shared" si="101"/>
        <v>39.709844528393859</v>
      </c>
      <c r="I819" s="1" t="str">
        <f t="shared" si="102"/>
        <v>Medium</v>
      </c>
      <c r="J819">
        <f t="shared" si="103"/>
        <v>0.9173765785034298</v>
      </c>
      <c r="K819">
        <f t="shared" si="104"/>
        <v>39.345555715330249</v>
      </c>
      <c r="L819">
        <f t="shared" si="105"/>
        <v>0.91737657850342602</v>
      </c>
    </row>
    <row r="820" spans="1:12" x14ac:dyDescent="0.25">
      <c r="A820" s="3">
        <v>42456</v>
      </c>
      <c r="B820" s="3" t="str">
        <f t="shared" si="98"/>
        <v>Mar</v>
      </c>
      <c r="C820" s="3" t="str">
        <f t="shared" si="99"/>
        <v>2016</v>
      </c>
      <c r="D820" s="3" t="str">
        <f t="shared" si="100"/>
        <v>Sunday</v>
      </c>
      <c r="E820">
        <v>58359.832179999998</v>
      </c>
      <c r="F820">
        <v>57681.569880000003</v>
      </c>
      <c r="G820">
        <v>1466</v>
      </c>
      <c r="H820" s="1">
        <f t="shared" si="101"/>
        <v>39.80888961800818</v>
      </c>
      <c r="I820" s="1" t="str">
        <f t="shared" si="102"/>
        <v>Medium</v>
      </c>
      <c r="J820">
        <f t="shared" si="103"/>
        <v>1.1622074201790396</v>
      </c>
      <c r="K820">
        <f t="shared" si="104"/>
        <v>39.346227748976808</v>
      </c>
      <c r="L820">
        <f t="shared" si="105"/>
        <v>1.1622074201790333</v>
      </c>
    </row>
    <row r="821" spans="1:12" x14ac:dyDescent="0.25">
      <c r="A821" s="3">
        <v>42457</v>
      </c>
      <c r="B821" s="3" t="str">
        <f t="shared" si="98"/>
        <v>Mar</v>
      </c>
      <c r="C821" s="3" t="str">
        <f t="shared" si="99"/>
        <v>2016</v>
      </c>
      <c r="D821" s="3" t="str">
        <f t="shared" si="100"/>
        <v>Monday</v>
      </c>
      <c r="E821">
        <v>85605.331919999997</v>
      </c>
      <c r="F821">
        <v>85022.380919999996</v>
      </c>
      <c r="G821">
        <v>2162</v>
      </c>
      <c r="H821" s="1">
        <f t="shared" si="101"/>
        <v>39.5954356706753</v>
      </c>
      <c r="I821" s="1" t="str">
        <f t="shared" si="102"/>
        <v>Medium</v>
      </c>
      <c r="J821">
        <f t="shared" si="103"/>
        <v>0.6809751062524716</v>
      </c>
      <c r="K821">
        <f t="shared" si="104"/>
        <v>39.325800610545791</v>
      </c>
      <c r="L821">
        <f t="shared" si="105"/>
        <v>0.68097510625246971</v>
      </c>
    </row>
    <row r="822" spans="1:12" x14ac:dyDescent="0.25">
      <c r="A822" s="3">
        <v>42458</v>
      </c>
      <c r="B822" s="3" t="str">
        <f t="shared" si="98"/>
        <v>Mar</v>
      </c>
      <c r="C822" s="3" t="str">
        <f t="shared" si="99"/>
        <v>2016</v>
      </c>
      <c r="D822" s="3" t="str">
        <f t="shared" si="100"/>
        <v>Tuesday</v>
      </c>
      <c r="E822">
        <v>84836.414340000003</v>
      </c>
      <c r="F822">
        <v>84595.217929999999</v>
      </c>
      <c r="G822">
        <v>2155</v>
      </c>
      <c r="H822" s="1">
        <f t="shared" si="101"/>
        <v>39.367245633410676</v>
      </c>
      <c r="I822" s="1" t="str">
        <f t="shared" si="102"/>
        <v>Medium</v>
      </c>
      <c r="J822">
        <f t="shared" si="103"/>
        <v>0.28430764298141847</v>
      </c>
      <c r="K822">
        <f t="shared" si="104"/>
        <v>39.255321545243618</v>
      </c>
      <c r="L822">
        <f t="shared" si="105"/>
        <v>0.28430764298142486</v>
      </c>
    </row>
    <row r="823" spans="1:12" x14ac:dyDescent="0.25">
      <c r="A823" s="3">
        <v>42459</v>
      </c>
      <c r="B823" s="3" t="str">
        <f t="shared" si="98"/>
        <v>Mar</v>
      </c>
      <c r="C823" s="3" t="str">
        <f t="shared" si="99"/>
        <v>2016</v>
      </c>
      <c r="D823" s="3" t="str">
        <f t="shared" si="100"/>
        <v>Wednesday</v>
      </c>
      <c r="E823">
        <v>64308.914219999999</v>
      </c>
      <c r="F823">
        <v>68427.594670000006</v>
      </c>
      <c r="G823">
        <v>1746</v>
      </c>
      <c r="H823" s="1">
        <f t="shared" si="101"/>
        <v>36.832138728522338</v>
      </c>
      <c r="I823" s="1" t="str">
        <f t="shared" si="102"/>
        <v>Medium</v>
      </c>
      <c r="J823">
        <f t="shared" si="103"/>
        <v>-6.4045249402128803</v>
      </c>
      <c r="K823">
        <f t="shared" si="104"/>
        <v>39.191062239404353</v>
      </c>
      <c r="L823">
        <f t="shared" si="105"/>
        <v>-6.4045249402128652</v>
      </c>
    </row>
    <row r="824" spans="1:12" x14ac:dyDescent="0.25">
      <c r="A824" s="3">
        <v>42460</v>
      </c>
      <c r="B824" s="3" t="str">
        <f t="shared" si="98"/>
        <v>Mar</v>
      </c>
      <c r="C824" s="3" t="str">
        <f t="shared" si="99"/>
        <v>2016</v>
      </c>
      <c r="D824" s="3" t="str">
        <f t="shared" si="100"/>
        <v>Thursday</v>
      </c>
      <c r="E824">
        <v>131168.48550000001</v>
      </c>
      <c r="F824">
        <v>138589.10010000001</v>
      </c>
      <c r="G824">
        <v>3554</v>
      </c>
      <c r="H824" s="1">
        <f t="shared" si="101"/>
        <v>36.907283483398992</v>
      </c>
      <c r="I824" s="1" t="str">
        <f t="shared" si="102"/>
        <v>Medium</v>
      </c>
      <c r="J824">
        <f t="shared" si="103"/>
        <v>-5.6573151483097668</v>
      </c>
      <c r="K824">
        <f t="shared" si="104"/>
        <v>38.995244822734946</v>
      </c>
      <c r="L824">
        <f t="shared" si="105"/>
        <v>-5.6573151483097535</v>
      </c>
    </row>
    <row r="825" spans="1:12" x14ac:dyDescent="0.25">
      <c r="A825" s="3">
        <v>42461</v>
      </c>
      <c r="B825" s="3" t="str">
        <f t="shared" si="98"/>
        <v>Apr</v>
      </c>
      <c r="C825" s="3" t="str">
        <f t="shared" si="99"/>
        <v>2016</v>
      </c>
      <c r="D825" s="3" t="str">
        <f t="shared" si="100"/>
        <v>Friday</v>
      </c>
      <c r="E825">
        <v>232410.198</v>
      </c>
      <c r="F825">
        <v>245358.63</v>
      </c>
      <c r="G825">
        <v>6282</v>
      </c>
      <c r="H825" s="1">
        <f t="shared" si="101"/>
        <v>36.996211079274119</v>
      </c>
      <c r="I825" s="1" t="str">
        <f t="shared" si="102"/>
        <v>Medium</v>
      </c>
      <c r="J825">
        <f t="shared" si="103"/>
        <v>-5.5713699792123581</v>
      </c>
      <c r="K825">
        <f t="shared" si="104"/>
        <v>39.057406876790829</v>
      </c>
      <c r="L825">
        <f t="shared" si="105"/>
        <v>-5.5713699792123466</v>
      </c>
    </row>
    <row r="826" spans="1:12" x14ac:dyDescent="0.25">
      <c r="A826" s="3">
        <v>42462</v>
      </c>
      <c r="B826" s="3" t="str">
        <f t="shared" si="98"/>
        <v>Apr</v>
      </c>
      <c r="C826" s="3" t="str">
        <f t="shared" si="99"/>
        <v>2016</v>
      </c>
      <c r="D826" s="3" t="str">
        <f t="shared" si="100"/>
        <v>Saturday</v>
      </c>
      <c r="E826">
        <v>195831.0975</v>
      </c>
      <c r="F826">
        <v>205442.82810000001</v>
      </c>
      <c r="G826">
        <v>5259</v>
      </c>
      <c r="H826" s="1">
        <f t="shared" si="101"/>
        <v>37.237326012549914</v>
      </c>
      <c r="I826" s="1" t="str">
        <f t="shared" si="102"/>
        <v>Medium</v>
      </c>
      <c r="J826">
        <f t="shared" si="103"/>
        <v>-4.9081737899160833</v>
      </c>
      <c r="K826">
        <f t="shared" si="104"/>
        <v>39.064998687963495</v>
      </c>
      <c r="L826">
        <f t="shared" si="105"/>
        <v>-4.9081737899160895</v>
      </c>
    </row>
    <row r="827" spans="1:12" x14ac:dyDescent="0.25">
      <c r="A827" s="3">
        <v>42463</v>
      </c>
      <c r="B827" s="3" t="str">
        <f t="shared" si="98"/>
        <v>Apr</v>
      </c>
      <c r="C827" s="3" t="str">
        <f t="shared" si="99"/>
        <v>2016</v>
      </c>
      <c r="D827" s="3" t="str">
        <f t="shared" si="100"/>
        <v>Sunday</v>
      </c>
      <c r="E827">
        <v>90716.547890000002</v>
      </c>
      <c r="F827">
        <v>95543.133650000003</v>
      </c>
      <c r="G827">
        <v>2446</v>
      </c>
      <c r="H827" s="1">
        <f t="shared" si="101"/>
        <v>37.087713773507765</v>
      </c>
      <c r="I827" s="1" t="str">
        <f t="shared" si="102"/>
        <v>Medium</v>
      </c>
      <c r="J827">
        <f t="shared" si="103"/>
        <v>-5.3205130400823517</v>
      </c>
      <c r="K827">
        <f t="shared" si="104"/>
        <v>39.060970421095668</v>
      </c>
      <c r="L827">
        <f t="shared" si="105"/>
        <v>-5.3205130400823606</v>
      </c>
    </row>
    <row r="828" spans="1:12" x14ac:dyDescent="0.25">
      <c r="A828" s="3">
        <v>42464</v>
      </c>
      <c r="B828" s="3" t="str">
        <f t="shared" si="98"/>
        <v>Apr</v>
      </c>
      <c r="C828" s="3" t="str">
        <f t="shared" si="99"/>
        <v>2016</v>
      </c>
      <c r="D828" s="3" t="str">
        <f t="shared" si="100"/>
        <v>Monday</v>
      </c>
      <c r="E828">
        <v>131638.0196</v>
      </c>
      <c r="F828">
        <v>130700.18889999999</v>
      </c>
      <c r="G828">
        <v>3345</v>
      </c>
      <c r="H828" s="1">
        <f t="shared" si="101"/>
        <v>39.35366804185351</v>
      </c>
      <c r="I828" s="1" t="str">
        <f t="shared" si="102"/>
        <v>Medium</v>
      </c>
      <c r="J828">
        <f t="shared" si="103"/>
        <v>0.71243148662501299</v>
      </c>
      <c r="K828">
        <f t="shared" si="104"/>
        <v>39.073300119581461</v>
      </c>
      <c r="L828">
        <f t="shared" si="105"/>
        <v>0.71243148662501143</v>
      </c>
    </row>
    <row r="829" spans="1:12" x14ac:dyDescent="0.25">
      <c r="A829" s="3">
        <v>42465</v>
      </c>
      <c r="B829" s="3" t="str">
        <f t="shared" si="98"/>
        <v>Apr</v>
      </c>
      <c r="C829" s="3" t="str">
        <f t="shared" si="99"/>
        <v>2016</v>
      </c>
      <c r="D829" s="3" t="str">
        <f t="shared" si="100"/>
        <v>Tuesday</v>
      </c>
      <c r="E829">
        <v>81910.872619999995</v>
      </c>
      <c r="F829">
        <v>79969.510550000006</v>
      </c>
      <c r="G829">
        <v>2048</v>
      </c>
      <c r="H829" s="1">
        <f t="shared" si="101"/>
        <v>39.995543271484372</v>
      </c>
      <c r="I829" s="1" t="str">
        <f t="shared" si="102"/>
        <v>Medium</v>
      </c>
      <c r="J829">
        <f t="shared" si="103"/>
        <v>2.370090816888661</v>
      </c>
      <c r="K829">
        <f t="shared" si="104"/>
        <v>39.047612573242191</v>
      </c>
      <c r="L829">
        <f t="shared" si="105"/>
        <v>2.370090816888661</v>
      </c>
    </row>
    <row r="830" spans="1:12" x14ac:dyDescent="0.25">
      <c r="A830" s="3">
        <v>42466</v>
      </c>
      <c r="B830" s="3" t="str">
        <f t="shared" si="98"/>
        <v>Apr</v>
      </c>
      <c r="C830" s="3" t="str">
        <f t="shared" si="99"/>
        <v>2016</v>
      </c>
      <c r="D830" s="3" t="str">
        <f t="shared" si="100"/>
        <v>Wednesday</v>
      </c>
      <c r="E830">
        <v>54821.908510000001</v>
      </c>
      <c r="F830">
        <v>50800.00851</v>
      </c>
      <c r="G830">
        <v>1303</v>
      </c>
      <c r="H830" s="1">
        <f t="shared" si="101"/>
        <v>42.073605917114349</v>
      </c>
      <c r="I830" s="1" t="str">
        <f t="shared" si="102"/>
        <v>High</v>
      </c>
      <c r="J830">
        <f t="shared" si="103"/>
        <v>7.3363005946178825</v>
      </c>
      <c r="K830">
        <f t="shared" si="104"/>
        <v>38.986959716039905</v>
      </c>
      <c r="L830">
        <f t="shared" si="105"/>
        <v>7.3363005946178808</v>
      </c>
    </row>
    <row r="831" spans="1:12" x14ac:dyDescent="0.25">
      <c r="A831" s="3">
        <v>42467</v>
      </c>
      <c r="B831" s="3" t="str">
        <f t="shared" si="98"/>
        <v>Apr</v>
      </c>
      <c r="C831" s="3" t="str">
        <f t="shared" si="99"/>
        <v>2016</v>
      </c>
      <c r="D831" s="3" t="str">
        <f t="shared" si="100"/>
        <v>Thursday</v>
      </c>
      <c r="E831">
        <v>155615.41940000001</v>
      </c>
      <c r="F831">
        <v>171592.12590000001</v>
      </c>
      <c r="G831">
        <v>4413</v>
      </c>
      <c r="H831" s="1">
        <f t="shared" si="101"/>
        <v>35.262954769997734</v>
      </c>
      <c r="I831" s="1" t="str">
        <f t="shared" si="102"/>
        <v>Medium</v>
      </c>
      <c r="J831">
        <f t="shared" si="103"/>
        <v>-10.266788832109782</v>
      </c>
      <c r="K831">
        <f t="shared" si="104"/>
        <v>38.883327872195785</v>
      </c>
      <c r="L831">
        <f t="shared" si="105"/>
        <v>-10.266788832109784</v>
      </c>
    </row>
    <row r="832" spans="1:12" x14ac:dyDescent="0.25">
      <c r="A832" s="3">
        <v>42468</v>
      </c>
      <c r="B832" s="3" t="str">
        <f t="shared" si="98"/>
        <v>Apr</v>
      </c>
      <c r="C832" s="3" t="str">
        <f t="shared" si="99"/>
        <v>2016</v>
      </c>
      <c r="D832" s="3" t="str">
        <f t="shared" si="100"/>
        <v>Friday</v>
      </c>
      <c r="E832">
        <v>264086.89380000002</v>
      </c>
      <c r="F832">
        <v>291378.57980000001</v>
      </c>
      <c r="G832">
        <v>7494</v>
      </c>
      <c r="H832" s="1">
        <f t="shared" si="101"/>
        <v>35.239777662129704</v>
      </c>
      <c r="I832" s="1" t="str">
        <f t="shared" si="102"/>
        <v>Medium</v>
      </c>
      <c r="J832">
        <f t="shared" si="103"/>
        <v>-10.334358364890575</v>
      </c>
      <c r="K832">
        <f t="shared" si="104"/>
        <v>38.881582572724845</v>
      </c>
      <c r="L832">
        <f t="shared" si="105"/>
        <v>-10.334358364890575</v>
      </c>
    </row>
    <row r="833" spans="1:12" x14ac:dyDescent="0.25">
      <c r="A833" s="3">
        <v>42469</v>
      </c>
      <c r="B833" s="3" t="str">
        <f t="shared" si="98"/>
        <v>Apr</v>
      </c>
      <c r="C833" s="3" t="str">
        <f t="shared" si="99"/>
        <v>2016</v>
      </c>
      <c r="D833" s="3" t="str">
        <f t="shared" si="100"/>
        <v>Saturday</v>
      </c>
      <c r="E833">
        <v>272761.29749999999</v>
      </c>
      <c r="F833">
        <v>298164.41609999997</v>
      </c>
      <c r="G833">
        <v>7738</v>
      </c>
      <c r="H833" s="1">
        <f t="shared" si="101"/>
        <v>35.249586133367792</v>
      </c>
      <c r="I833" s="1" t="str">
        <f t="shared" si="102"/>
        <v>Medium</v>
      </c>
      <c r="J833">
        <f t="shared" si="103"/>
        <v>-9.3133149141145974</v>
      </c>
      <c r="K833">
        <f t="shared" si="104"/>
        <v>38.532491095890407</v>
      </c>
      <c r="L833">
        <f t="shared" si="105"/>
        <v>-9.313314914114601</v>
      </c>
    </row>
    <row r="834" spans="1:12" x14ac:dyDescent="0.25">
      <c r="A834" s="3">
        <v>42470</v>
      </c>
      <c r="B834" s="3" t="str">
        <f t="shared" si="98"/>
        <v>Apr</v>
      </c>
      <c r="C834" s="3" t="str">
        <f t="shared" si="99"/>
        <v>2016</v>
      </c>
      <c r="D834" s="3" t="str">
        <f t="shared" si="100"/>
        <v>Sunday</v>
      </c>
      <c r="E834">
        <v>104689.4279</v>
      </c>
      <c r="F834">
        <v>113609.3043</v>
      </c>
      <c r="G834">
        <v>2958</v>
      </c>
      <c r="H834" s="1">
        <f t="shared" si="101"/>
        <v>35.391963455037185</v>
      </c>
      <c r="I834" s="1" t="str">
        <f t="shared" si="102"/>
        <v>Medium</v>
      </c>
      <c r="J834">
        <f t="shared" si="103"/>
        <v>-8.5203220410377352</v>
      </c>
      <c r="K834">
        <f t="shared" si="104"/>
        <v>38.407472718052738</v>
      </c>
      <c r="L834">
        <f t="shared" si="105"/>
        <v>-8.5203220410377316</v>
      </c>
    </row>
    <row r="835" spans="1:12" x14ac:dyDescent="0.25">
      <c r="A835" s="3">
        <v>42471</v>
      </c>
      <c r="B835" s="3" t="str">
        <f t="shared" ref="B835:B898" si="106">TEXT(A835,"mmm")</f>
        <v>Apr</v>
      </c>
      <c r="C835" s="3" t="str">
        <f t="shared" ref="C835:C898" si="107">TEXT(A835,"yyyy")</f>
        <v>2016</v>
      </c>
      <c r="D835" s="3" t="str">
        <f t="shared" ref="D835:D898" si="108">TEXT(A835,"dddd")</f>
        <v>Monday</v>
      </c>
      <c r="E835">
        <v>131170.5969</v>
      </c>
      <c r="F835">
        <v>142022.8126</v>
      </c>
      <c r="G835">
        <v>3713</v>
      </c>
      <c r="H835" s="1">
        <f t="shared" ref="H835:H898" si="109">E835/G835</f>
        <v>35.327389415566927</v>
      </c>
      <c r="I835" s="1" t="str">
        <f t="shared" ref="I835:I898" si="110">IF(H835&lt;PERCENTILE(H835:H1887,0.33),"Low", IF(H835&gt;PERCENTILE(H835:H1887,0.67),"High","Medium"))</f>
        <v>Medium</v>
      </c>
      <c r="J835">
        <f t="shared" ref="J835:J898" si="111">(E835-F835)/E835 *100</f>
        <v>-8.2733600032889694</v>
      </c>
      <c r="K835">
        <f t="shared" ref="K835:K898" si="112">F835/G835</f>
        <v>38.250151521680586</v>
      </c>
      <c r="L835">
        <f t="shared" ref="L835:L898" si="113">(H835-K835)/H835 *100</f>
        <v>-8.27336000328898</v>
      </c>
    </row>
    <row r="836" spans="1:12" x14ac:dyDescent="0.25">
      <c r="A836" s="3">
        <v>42472</v>
      </c>
      <c r="B836" s="3" t="str">
        <f t="shared" si="106"/>
        <v>Apr</v>
      </c>
      <c r="C836" s="3" t="str">
        <f t="shared" si="107"/>
        <v>2016</v>
      </c>
      <c r="D836" s="3" t="str">
        <f t="shared" si="108"/>
        <v>Tuesday</v>
      </c>
      <c r="E836">
        <v>123179.48940000001</v>
      </c>
      <c r="F836">
        <v>132714.9602</v>
      </c>
      <c r="G836">
        <v>3504</v>
      </c>
      <c r="H836" s="1">
        <f t="shared" si="109"/>
        <v>35.153963869863013</v>
      </c>
      <c r="I836" s="1" t="str">
        <f t="shared" si="110"/>
        <v>Medium</v>
      </c>
      <c r="J836">
        <f t="shared" si="111"/>
        <v>-7.7411189528765769</v>
      </c>
      <c r="K836">
        <f t="shared" si="112"/>
        <v>37.875274029680362</v>
      </c>
      <c r="L836">
        <f t="shared" si="113"/>
        <v>-7.741118952876576</v>
      </c>
    </row>
    <row r="837" spans="1:12" x14ac:dyDescent="0.25">
      <c r="A837" s="3">
        <v>42473</v>
      </c>
      <c r="B837" s="3" t="str">
        <f t="shared" si="106"/>
        <v>Apr</v>
      </c>
      <c r="C837" s="3" t="str">
        <f t="shared" si="107"/>
        <v>2016</v>
      </c>
      <c r="D837" s="3" t="str">
        <f t="shared" si="108"/>
        <v>Wednesday</v>
      </c>
      <c r="E837">
        <v>124431.04640000001</v>
      </c>
      <c r="F837">
        <v>132889.0569</v>
      </c>
      <c r="G837">
        <v>3534</v>
      </c>
      <c r="H837" s="1">
        <f t="shared" si="109"/>
        <v>35.209690548953027</v>
      </c>
      <c r="I837" s="1" t="str">
        <f t="shared" si="110"/>
        <v>Medium</v>
      </c>
      <c r="J837">
        <f t="shared" si="111"/>
        <v>-6.7973474021994464</v>
      </c>
      <c r="K837">
        <f t="shared" si="112"/>
        <v>37.603015534804754</v>
      </c>
      <c r="L837">
        <f t="shared" si="113"/>
        <v>-6.7973474021994589</v>
      </c>
    </row>
    <row r="838" spans="1:12" x14ac:dyDescent="0.25">
      <c r="A838" s="3">
        <v>42474</v>
      </c>
      <c r="B838" s="3" t="str">
        <f t="shared" si="106"/>
        <v>Apr</v>
      </c>
      <c r="C838" s="3" t="str">
        <f t="shared" si="107"/>
        <v>2016</v>
      </c>
      <c r="D838" s="3" t="str">
        <f t="shared" si="108"/>
        <v>Thursday</v>
      </c>
      <c r="E838">
        <v>162166.83600000001</v>
      </c>
      <c r="F838">
        <v>172225.65270000001</v>
      </c>
      <c r="G838">
        <v>4601</v>
      </c>
      <c r="H838" s="1">
        <f t="shared" si="109"/>
        <v>35.245997826559446</v>
      </c>
      <c r="I838" s="1" t="str">
        <f t="shared" si="110"/>
        <v>Medium</v>
      </c>
      <c r="J838">
        <f t="shared" si="111"/>
        <v>-6.2027581891034709</v>
      </c>
      <c r="K838">
        <f t="shared" si="112"/>
        <v>37.432221843077592</v>
      </c>
      <c r="L838">
        <f t="shared" si="113"/>
        <v>-6.2027581891034673</v>
      </c>
    </row>
    <row r="839" spans="1:12" x14ac:dyDescent="0.25">
      <c r="A839" s="3">
        <v>42475</v>
      </c>
      <c r="B839" s="3" t="str">
        <f t="shared" si="106"/>
        <v>Apr</v>
      </c>
      <c r="C839" s="3" t="str">
        <f t="shared" si="107"/>
        <v>2016</v>
      </c>
      <c r="D839" s="3" t="str">
        <f t="shared" si="108"/>
        <v>Friday</v>
      </c>
      <c r="E839">
        <v>354042.0232</v>
      </c>
      <c r="F839">
        <v>373200.30599999998</v>
      </c>
      <c r="G839">
        <v>10045</v>
      </c>
      <c r="H839" s="1">
        <f t="shared" si="109"/>
        <v>35.245597132901942</v>
      </c>
      <c r="I839" s="1" t="str">
        <f t="shared" si="110"/>
        <v>Medium</v>
      </c>
      <c r="J839">
        <f t="shared" si="111"/>
        <v>-5.4113019202744139</v>
      </c>
      <c r="K839">
        <f t="shared" si="112"/>
        <v>37.152842807366845</v>
      </c>
      <c r="L839">
        <f t="shared" si="113"/>
        <v>-5.4113019202744042</v>
      </c>
    </row>
    <row r="840" spans="1:12" x14ac:dyDescent="0.25">
      <c r="A840" s="3">
        <v>42476</v>
      </c>
      <c r="B840" s="3" t="str">
        <f t="shared" si="106"/>
        <v>Apr</v>
      </c>
      <c r="C840" s="3" t="str">
        <f t="shared" si="107"/>
        <v>2016</v>
      </c>
      <c r="D840" s="3" t="str">
        <f t="shared" si="108"/>
        <v>Saturday</v>
      </c>
      <c r="E840">
        <v>327352.26140000002</v>
      </c>
      <c r="F840">
        <v>345338.62809999997</v>
      </c>
      <c r="G840">
        <v>9301</v>
      </c>
      <c r="H840" s="1">
        <f t="shared" si="109"/>
        <v>35.195383442640576</v>
      </c>
      <c r="I840" s="1" t="str">
        <f t="shared" si="110"/>
        <v>Medium</v>
      </c>
      <c r="J840">
        <f t="shared" si="111"/>
        <v>-5.4944989911103619</v>
      </c>
      <c r="K840">
        <f t="shared" si="112"/>
        <v>37.129193430813885</v>
      </c>
      <c r="L840">
        <f t="shared" si="113"/>
        <v>-5.4944989911103592</v>
      </c>
    </row>
    <row r="841" spans="1:12" x14ac:dyDescent="0.25">
      <c r="A841" s="3">
        <v>42477</v>
      </c>
      <c r="B841" s="3" t="str">
        <f t="shared" si="106"/>
        <v>Apr</v>
      </c>
      <c r="C841" s="3" t="str">
        <f t="shared" si="107"/>
        <v>2016</v>
      </c>
      <c r="D841" s="3" t="str">
        <f t="shared" si="108"/>
        <v>Sunday</v>
      </c>
      <c r="E841">
        <v>164809.30300000001</v>
      </c>
      <c r="F841">
        <v>175167.42879999999</v>
      </c>
      <c r="G841">
        <v>4678</v>
      </c>
      <c r="H841" s="1">
        <f t="shared" si="109"/>
        <v>35.230718896964518</v>
      </c>
      <c r="I841" s="1" t="str">
        <f t="shared" si="110"/>
        <v>Medium</v>
      </c>
      <c r="J841">
        <f t="shared" si="111"/>
        <v>-6.2849157246906016</v>
      </c>
      <c r="K841">
        <f t="shared" si="112"/>
        <v>37.444939888841382</v>
      </c>
      <c r="L841">
        <f t="shared" si="113"/>
        <v>-6.2849157246905953</v>
      </c>
    </row>
    <row r="842" spans="1:12" x14ac:dyDescent="0.25">
      <c r="A842" s="3">
        <v>42478</v>
      </c>
      <c r="B842" s="3" t="str">
        <f t="shared" si="106"/>
        <v>Apr</v>
      </c>
      <c r="C842" s="3" t="str">
        <f t="shared" si="107"/>
        <v>2016</v>
      </c>
      <c r="D842" s="3" t="str">
        <f t="shared" si="108"/>
        <v>Monday</v>
      </c>
      <c r="E842">
        <v>151157.79430000001</v>
      </c>
      <c r="F842">
        <v>159828.76500000001</v>
      </c>
      <c r="G842">
        <v>4294</v>
      </c>
      <c r="H842" s="1">
        <f t="shared" si="109"/>
        <v>35.202094620400558</v>
      </c>
      <c r="I842" s="1" t="str">
        <f t="shared" si="110"/>
        <v>Medium</v>
      </c>
      <c r="J842">
        <f t="shared" si="111"/>
        <v>-5.7363702216975287</v>
      </c>
      <c r="K842">
        <f t="shared" si="112"/>
        <v>37.221417093619003</v>
      </c>
      <c r="L842">
        <f t="shared" si="113"/>
        <v>-5.736370221697527</v>
      </c>
    </row>
    <row r="843" spans="1:12" x14ac:dyDescent="0.25">
      <c r="A843" s="3">
        <v>42479</v>
      </c>
      <c r="B843" s="3" t="str">
        <f t="shared" si="106"/>
        <v>Apr</v>
      </c>
      <c r="C843" s="3" t="str">
        <f t="shared" si="107"/>
        <v>2016</v>
      </c>
      <c r="D843" s="3" t="str">
        <f t="shared" si="108"/>
        <v>Tuesday</v>
      </c>
      <c r="E843">
        <v>126895.9365</v>
      </c>
      <c r="F843">
        <v>133726.2806</v>
      </c>
      <c r="G843">
        <v>3606</v>
      </c>
      <c r="H843" s="1">
        <f t="shared" si="109"/>
        <v>35.19022088186356</v>
      </c>
      <c r="I843" s="1" t="str">
        <f t="shared" si="110"/>
        <v>Medium</v>
      </c>
      <c r="J843">
        <f t="shared" si="111"/>
        <v>-5.3826342185511997</v>
      </c>
      <c r="K843">
        <f t="shared" si="112"/>
        <v>37.084381752634499</v>
      </c>
      <c r="L843">
        <f t="shared" si="113"/>
        <v>-5.3826342185512033</v>
      </c>
    </row>
    <row r="844" spans="1:12" x14ac:dyDescent="0.25">
      <c r="A844" s="3">
        <v>42480</v>
      </c>
      <c r="B844" s="3" t="str">
        <f t="shared" si="106"/>
        <v>Apr</v>
      </c>
      <c r="C844" s="3" t="str">
        <f t="shared" si="107"/>
        <v>2016</v>
      </c>
      <c r="D844" s="3" t="str">
        <f t="shared" si="108"/>
        <v>Wednesday</v>
      </c>
      <c r="E844">
        <v>166395.44579999999</v>
      </c>
      <c r="F844">
        <v>179020.54250000001</v>
      </c>
      <c r="G844">
        <v>4838</v>
      </c>
      <c r="H844" s="1">
        <f t="shared" si="109"/>
        <v>34.393436502687059</v>
      </c>
      <c r="I844" s="1" t="str">
        <f t="shared" si="110"/>
        <v>Low</v>
      </c>
      <c r="J844">
        <f t="shared" si="111"/>
        <v>-7.5874051956775519</v>
      </c>
      <c r="K844">
        <f t="shared" si="112"/>
        <v>37.003005890863996</v>
      </c>
      <c r="L844">
        <f t="shared" si="113"/>
        <v>-7.5874051956775475</v>
      </c>
    </row>
    <row r="845" spans="1:12" x14ac:dyDescent="0.25">
      <c r="A845" s="3">
        <v>42481</v>
      </c>
      <c r="B845" s="3" t="str">
        <f t="shared" si="106"/>
        <v>Apr</v>
      </c>
      <c r="C845" s="3" t="str">
        <f t="shared" si="107"/>
        <v>2016</v>
      </c>
      <c r="D845" s="3" t="str">
        <f t="shared" si="108"/>
        <v>Thursday</v>
      </c>
      <c r="E845">
        <v>167796.3548</v>
      </c>
      <c r="F845">
        <v>182485.09890000001</v>
      </c>
      <c r="G845">
        <v>4914</v>
      </c>
      <c r="H845" s="1">
        <f t="shared" si="109"/>
        <v>34.146592348392346</v>
      </c>
      <c r="I845" s="1" t="str">
        <f t="shared" si="110"/>
        <v>Low</v>
      </c>
      <c r="J845">
        <f t="shared" si="111"/>
        <v>-8.7539113215587037</v>
      </c>
      <c r="K845">
        <f t="shared" si="112"/>
        <v>37.135754761904764</v>
      </c>
      <c r="L845">
        <f t="shared" si="113"/>
        <v>-8.753911321558709</v>
      </c>
    </row>
    <row r="846" spans="1:12" x14ac:dyDescent="0.25">
      <c r="A846" s="3">
        <v>42482</v>
      </c>
      <c r="B846" s="3" t="str">
        <f t="shared" si="106"/>
        <v>Apr</v>
      </c>
      <c r="C846" s="3" t="str">
        <f t="shared" si="107"/>
        <v>2016</v>
      </c>
      <c r="D846" s="3" t="str">
        <f t="shared" si="108"/>
        <v>Friday</v>
      </c>
      <c r="E846">
        <v>351146.01699999999</v>
      </c>
      <c r="F846">
        <v>380098.15639999998</v>
      </c>
      <c r="G846">
        <v>10269</v>
      </c>
      <c r="H846" s="1">
        <f t="shared" si="109"/>
        <v>34.194762586425163</v>
      </c>
      <c r="I846" s="1" t="str">
        <f t="shared" si="110"/>
        <v>Low</v>
      </c>
      <c r="J846">
        <f t="shared" si="111"/>
        <v>-8.2450428022368776</v>
      </c>
      <c r="K846">
        <f t="shared" si="112"/>
        <v>37.014135397799201</v>
      </c>
      <c r="L846">
        <f t="shared" si="113"/>
        <v>-8.2450428022368811</v>
      </c>
    </row>
    <row r="847" spans="1:12" x14ac:dyDescent="0.25">
      <c r="A847" s="3">
        <v>42483</v>
      </c>
      <c r="B847" s="3" t="str">
        <f t="shared" si="106"/>
        <v>Apr</v>
      </c>
      <c r="C847" s="3" t="str">
        <f t="shared" si="107"/>
        <v>2016</v>
      </c>
      <c r="D847" s="3" t="str">
        <f t="shared" si="108"/>
        <v>Saturday</v>
      </c>
      <c r="E847">
        <v>420738.82179999998</v>
      </c>
      <c r="F847">
        <v>455415.3493</v>
      </c>
      <c r="G847">
        <v>12317</v>
      </c>
      <c r="H847" s="1">
        <f t="shared" si="109"/>
        <v>34.159196378988391</v>
      </c>
      <c r="I847" s="1" t="str">
        <f t="shared" si="110"/>
        <v>Low</v>
      </c>
      <c r="J847">
        <f t="shared" si="111"/>
        <v>-8.2418178934968029</v>
      </c>
      <c r="K847">
        <f t="shared" si="112"/>
        <v>36.974535138426567</v>
      </c>
      <c r="L847">
        <f t="shared" si="113"/>
        <v>-8.2418178934968029</v>
      </c>
    </row>
    <row r="848" spans="1:12" x14ac:dyDescent="0.25">
      <c r="A848" s="3">
        <v>42484</v>
      </c>
      <c r="B848" s="3" t="str">
        <f t="shared" si="106"/>
        <v>Apr</v>
      </c>
      <c r="C848" s="3" t="str">
        <f t="shared" si="107"/>
        <v>2016</v>
      </c>
      <c r="D848" s="3" t="str">
        <f t="shared" si="108"/>
        <v>Sunday</v>
      </c>
      <c r="E848">
        <v>186166.1508</v>
      </c>
      <c r="F848">
        <v>202391.17869999999</v>
      </c>
      <c r="G848">
        <v>5453</v>
      </c>
      <c r="H848" s="1">
        <f t="shared" si="109"/>
        <v>34.140134017971761</v>
      </c>
      <c r="I848" s="1" t="str">
        <f t="shared" si="110"/>
        <v>Low</v>
      </c>
      <c r="J848">
        <f t="shared" si="111"/>
        <v>-8.7153479997718186</v>
      </c>
      <c r="K848">
        <f t="shared" si="112"/>
        <v>37.115565505226478</v>
      </c>
      <c r="L848">
        <f t="shared" si="113"/>
        <v>-8.7153479997718097</v>
      </c>
    </row>
    <row r="849" spans="1:12" x14ac:dyDescent="0.25">
      <c r="A849" s="3">
        <v>42485</v>
      </c>
      <c r="B849" s="3" t="str">
        <f t="shared" si="106"/>
        <v>Apr</v>
      </c>
      <c r="C849" s="3" t="str">
        <f t="shared" si="107"/>
        <v>2016</v>
      </c>
      <c r="D849" s="3" t="str">
        <f t="shared" si="108"/>
        <v>Monday</v>
      </c>
      <c r="E849">
        <v>251449.52960000001</v>
      </c>
      <c r="F849">
        <v>273255.09850000002</v>
      </c>
      <c r="G849">
        <v>7372</v>
      </c>
      <c r="H849" s="1">
        <f t="shared" si="109"/>
        <v>34.108726207270756</v>
      </c>
      <c r="I849" s="1" t="str">
        <f t="shared" si="110"/>
        <v>Low</v>
      </c>
      <c r="J849">
        <f t="shared" si="111"/>
        <v>-8.6719465869305061</v>
      </c>
      <c r="K849">
        <f t="shared" si="112"/>
        <v>37.066616725447645</v>
      </c>
      <c r="L849">
        <f t="shared" si="113"/>
        <v>-8.6719465869305115</v>
      </c>
    </row>
    <row r="850" spans="1:12" x14ac:dyDescent="0.25">
      <c r="A850" s="3">
        <v>42486</v>
      </c>
      <c r="B850" s="3" t="str">
        <f t="shared" si="106"/>
        <v>Apr</v>
      </c>
      <c r="C850" s="3" t="str">
        <f t="shared" si="107"/>
        <v>2016</v>
      </c>
      <c r="D850" s="3" t="str">
        <f t="shared" si="108"/>
        <v>Tuesday</v>
      </c>
      <c r="E850">
        <v>280321.81069999997</v>
      </c>
      <c r="F850">
        <v>302469.83199999999</v>
      </c>
      <c r="G850">
        <v>8211</v>
      </c>
      <c r="H850" s="1">
        <f t="shared" si="109"/>
        <v>34.139789392278644</v>
      </c>
      <c r="I850" s="1" t="str">
        <f t="shared" si="110"/>
        <v>Low</v>
      </c>
      <c r="J850">
        <f t="shared" si="111"/>
        <v>-7.900926882818549</v>
      </c>
      <c r="K850">
        <f t="shared" si="112"/>
        <v>36.837149190110829</v>
      </c>
      <c r="L850">
        <f t="shared" si="113"/>
        <v>-7.9009268828185668</v>
      </c>
    </row>
    <row r="851" spans="1:12" x14ac:dyDescent="0.25">
      <c r="A851" s="3">
        <v>42487</v>
      </c>
      <c r="B851" s="3" t="str">
        <f t="shared" si="106"/>
        <v>Apr</v>
      </c>
      <c r="C851" s="3" t="str">
        <f t="shared" si="107"/>
        <v>2016</v>
      </c>
      <c r="D851" s="3" t="str">
        <f t="shared" si="108"/>
        <v>Wednesday</v>
      </c>
      <c r="E851">
        <v>313434.93329999998</v>
      </c>
      <c r="F851">
        <v>337931.11700000003</v>
      </c>
      <c r="G851">
        <v>9182</v>
      </c>
      <c r="H851" s="1">
        <f t="shared" si="109"/>
        <v>34.135801927684597</v>
      </c>
      <c r="I851" s="1" t="str">
        <f t="shared" si="110"/>
        <v>Low</v>
      </c>
      <c r="J851">
        <f t="shared" si="111"/>
        <v>-7.8153967849377741</v>
      </c>
      <c r="K851">
        <f t="shared" si="112"/>
        <v>36.803650294053583</v>
      </c>
      <c r="L851">
        <f t="shared" si="113"/>
        <v>-7.815396784937767</v>
      </c>
    </row>
    <row r="852" spans="1:12" x14ac:dyDescent="0.25">
      <c r="A852" s="3">
        <v>42488</v>
      </c>
      <c r="B852" s="3" t="str">
        <f t="shared" si="106"/>
        <v>Apr</v>
      </c>
      <c r="C852" s="3" t="str">
        <f t="shared" si="107"/>
        <v>2016</v>
      </c>
      <c r="D852" s="3" t="str">
        <f t="shared" si="108"/>
        <v>Thursday</v>
      </c>
      <c r="E852">
        <v>257324.60310000001</v>
      </c>
      <c r="F852">
        <v>276852.17989999999</v>
      </c>
      <c r="G852">
        <v>7520</v>
      </c>
      <c r="H852" s="1">
        <f t="shared" si="109"/>
        <v>34.21869722074468</v>
      </c>
      <c r="I852" s="1" t="str">
        <f t="shared" si="110"/>
        <v>Low</v>
      </c>
      <c r="J852">
        <f t="shared" si="111"/>
        <v>-7.5886940326538799</v>
      </c>
      <c r="K852">
        <f t="shared" si="112"/>
        <v>36.815449454787235</v>
      </c>
      <c r="L852">
        <f t="shared" si="113"/>
        <v>-7.5886940326538923</v>
      </c>
    </row>
    <row r="853" spans="1:12" x14ac:dyDescent="0.25">
      <c r="A853" s="3">
        <v>42489</v>
      </c>
      <c r="B853" s="3" t="str">
        <f t="shared" si="106"/>
        <v>Apr</v>
      </c>
      <c r="C853" s="3" t="str">
        <f t="shared" si="107"/>
        <v>2016</v>
      </c>
      <c r="D853" s="3" t="str">
        <f t="shared" si="108"/>
        <v>Friday</v>
      </c>
      <c r="E853">
        <v>455554.33600000001</v>
      </c>
      <c r="F853">
        <v>489215.0675</v>
      </c>
      <c r="G853">
        <v>13321</v>
      </c>
      <c r="H853" s="1">
        <f t="shared" si="109"/>
        <v>34.198208542902186</v>
      </c>
      <c r="I853" s="1" t="str">
        <f t="shared" si="110"/>
        <v>Low</v>
      </c>
      <c r="J853">
        <f t="shared" si="111"/>
        <v>-7.3889608417644377</v>
      </c>
      <c r="K853">
        <f t="shared" si="112"/>
        <v>36.725100780722165</v>
      </c>
      <c r="L853">
        <f t="shared" si="113"/>
        <v>-7.3889608417644244</v>
      </c>
    </row>
    <row r="854" spans="1:12" x14ac:dyDescent="0.25">
      <c r="A854" s="3">
        <v>42490</v>
      </c>
      <c r="B854" s="3" t="str">
        <f t="shared" si="106"/>
        <v>Apr</v>
      </c>
      <c r="C854" s="3" t="str">
        <f t="shared" si="107"/>
        <v>2016</v>
      </c>
      <c r="D854" s="3" t="str">
        <f t="shared" si="108"/>
        <v>Saturday</v>
      </c>
      <c r="E854">
        <v>556865.20330000005</v>
      </c>
      <c r="F854">
        <v>598925.6679</v>
      </c>
      <c r="G854">
        <v>16276</v>
      </c>
      <c r="H854" s="1">
        <f t="shared" si="109"/>
        <v>34.213885678299341</v>
      </c>
      <c r="I854" s="1" t="str">
        <f t="shared" si="110"/>
        <v>Low</v>
      </c>
      <c r="J854">
        <f t="shared" si="111"/>
        <v>-7.5530782585710803</v>
      </c>
      <c r="K854">
        <f t="shared" si="112"/>
        <v>36.798087238879333</v>
      </c>
      <c r="L854">
        <f t="shared" si="113"/>
        <v>-7.5530782585710794</v>
      </c>
    </row>
    <row r="855" spans="1:12" x14ac:dyDescent="0.25">
      <c r="A855" s="3">
        <v>42491</v>
      </c>
      <c r="B855" s="3" t="str">
        <f t="shared" si="106"/>
        <v>May</v>
      </c>
      <c r="C855" s="3" t="str">
        <f t="shared" si="107"/>
        <v>2016</v>
      </c>
      <c r="D855" s="3" t="str">
        <f t="shared" si="108"/>
        <v>Sunday</v>
      </c>
      <c r="E855">
        <v>354856.04489999998</v>
      </c>
      <c r="F855">
        <v>380511.15919999999</v>
      </c>
      <c r="G855">
        <v>10388</v>
      </c>
      <c r="H855" s="1">
        <f t="shared" si="109"/>
        <v>34.160189150943395</v>
      </c>
      <c r="I855" s="1" t="str">
        <f t="shared" si="110"/>
        <v>Low</v>
      </c>
      <c r="J855">
        <f t="shared" si="111"/>
        <v>-7.2297244667847611</v>
      </c>
      <c r="K855">
        <f t="shared" si="112"/>
        <v>36.629876703889103</v>
      </c>
      <c r="L855">
        <f t="shared" si="113"/>
        <v>-7.2297244667847593</v>
      </c>
    </row>
    <row r="856" spans="1:12" x14ac:dyDescent="0.25">
      <c r="A856" s="3">
        <v>42492</v>
      </c>
      <c r="B856" s="3" t="str">
        <f t="shared" si="106"/>
        <v>May</v>
      </c>
      <c r="C856" s="3" t="str">
        <f t="shared" si="107"/>
        <v>2016</v>
      </c>
      <c r="D856" s="3" t="str">
        <f t="shared" si="108"/>
        <v>Monday</v>
      </c>
      <c r="E856">
        <v>283284.58130000002</v>
      </c>
      <c r="F856">
        <v>304997.8518</v>
      </c>
      <c r="G856">
        <v>8298</v>
      </c>
      <c r="H856" s="1">
        <f t="shared" si="109"/>
        <v>34.138898686430466</v>
      </c>
      <c r="I856" s="1" t="str">
        <f t="shared" si="110"/>
        <v>Low</v>
      </c>
      <c r="J856">
        <f t="shared" si="111"/>
        <v>-7.6648260912603305</v>
      </c>
      <c r="K856">
        <f t="shared" si="112"/>
        <v>36.755585900216921</v>
      </c>
      <c r="L856">
        <f t="shared" si="113"/>
        <v>-7.6648260912603403</v>
      </c>
    </row>
    <row r="857" spans="1:12" x14ac:dyDescent="0.25">
      <c r="A857" s="3">
        <v>42493</v>
      </c>
      <c r="B857" s="3" t="str">
        <f t="shared" si="106"/>
        <v>May</v>
      </c>
      <c r="C857" s="3" t="str">
        <f t="shared" si="107"/>
        <v>2016</v>
      </c>
      <c r="D857" s="3" t="str">
        <f t="shared" si="108"/>
        <v>Tuesday</v>
      </c>
      <c r="E857">
        <v>297500.674</v>
      </c>
      <c r="F857">
        <v>319786.35950000002</v>
      </c>
      <c r="G857">
        <v>8717</v>
      </c>
      <c r="H857" s="1">
        <f t="shared" si="109"/>
        <v>34.128791327291502</v>
      </c>
      <c r="I857" s="1" t="str">
        <f t="shared" si="110"/>
        <v>Low</v>
      </c>
      <c r="J857">
        <f t="shared" si="111"/>
        <v>-7.4909697515508897</v>
      </c>
      <c r="K857">
        <f t="shared" si="112"/>
        <v>36.68536876218883</v>
      </c>
      <c r="L857">
        <f t="shared" si="113"/>
        <v>-7.4909697515508844</v>
      </c>
    </row>
    <row r="858" spans="1:12" x14ac:dyDescent="0.25">
      <c r="A858" s="3">
        <v>42494</v>
      </c>
      <c r="B858" s="3" t="str">
        <f t="shared" si="106"/>
        <v>May</v>
      </c>
      <c r="C858" s="3" t="str">
        <f t="shared" si="107"/>
        <v>2016</v>
      </c>
      <c r="D858" s="3" t="str">
        <f t="shared" si="108"/>
        <v>Wednesday</v>
      </c>
      <c r="E858">
        <v>285968.4878</v>
      </c>
      <c r="F858">
        <v>305506.99819999997</v>
      </c>
      <c r="G858">
        <v>8364</v>
      </c>
      <c r="H858" s="1">
        <f t="shared" si="109"/>
        <v>34.190397871831657</v>
      </c>
      <c r="I858" s="1" t="str">
        <f t="shared" si="110"/>
        <v>Low</v>
      </c>
      <c r="J858">
        <f t="shared" si="111"/>
        <v>-6.832399804017836</v>
      </c>
      <c r="K858">
        <f t="shared" si="112"/>
        <v>36.526422549019607</v>
      </c>
      <c r="L858">
        <f t="shared" si="113"/>
        <v>-6.832399804017852</v>
      </c>
    </row>
    <row r="859" spans="1:12" x14ac:dyDescent="0.25">
      <c r="A859" s="3">
        <v>42495</v>
      </c>
      <c r="B859" s="3" t="str">
        <f t="shared" si="106"/>
        <v>May</v>
      </c>
      <c r="C859" s="3" t="str">
        <f t="shared" si="107"/>
        <v>2016</v>
      </c>
      <c r="D859" s="3" t="str">
        <f t="shared" si="108"/>
        <v>Thursday</v>
      </c>
      <c r="E859">
        <v>237946.63269999999</v>
      </c>
      <c r="F859">
        <v>254527.4155</v>
      </c>
      <c r="G859">
        <v>6968</v>
      </c>
      <c r="H859" s="1">
        <f t="shared" si="109"/>
        <v>34.148483452927671</v>
      </c>
      <c r="I859" s="1" t="str">
        <f t="shared" si="110"/>
        <v>Low</v>
      </c>
      <c r="J859">
        <f t="shared" si="111"/>
        <v>-6.9682779755512874</v>
      </c>
      <c r="K859">
        <f t="shared" si="112"/>
        <v>36.528044704362799</v>
      </c>
      <c r="L859">
        <f t="shared" si="113"/>
        <v>-6.9682779755512669</v>
      </c>
    </row>
    <row r="860" spans="1:12" x14ac:dyDescent="0.25">
      <c r="A860" s="3">
        <v>42496</v>
      </c>
      <c r="B860" s="3" t="str">
        <f t="shared" si="106"/>
        <v>May</v>
      </c>
      <c r="C860" s="3" t="str">
        <f t="shared" si="107"/>
        <v>2016</v>
      </c>
      <c r="D860" s="3" t="str">
        <f t="shared" si="108"/>
        <v>Friday</v>
      </c>
      <c r="E860">
        <v>340851.50589999999</v>
      </c>
      <c r="F860">
        <v>364361.03289999999</v>
      </c>
      <c r="G860">
        <v>9973</v>
      </c>
      <c r="H860" s="1">
        <f t="shared" si="109"/>
        <v>34.177429650055146</v>
      </c>
      <c r="I860" s="1" t="str">
        <f t="shared" si="110"/>
        <v>Low</v>
      </c>
      <c r="J860">
        <f t="shared" si="111"/>
        <v>-6.8972929833254994</v>
      </c>
      <c r="K860">
        <f t="shared" si="112"/>
        <v>36.534747107189411</v>
      </c>
      <c r="L860">
        <f t="shared" si="113"/>
        <v>-6.8972929833255066</v>
      </c>
    </row>
    <row r="861" spans="1:12" x14ac:dyDescent="0.25">
      <c r="A861" s="3">
        <v>42497</v>
      </c>
      <c r="B861" s="3" t="str">
        <f t="shared" si="106"/>
        <v>May</v>
      </c>
      <c r="C861" s="3" t="str">
        <f t="shared" si="107"/>
        <v>2016</v>
      </c>
      <c r="D861" s="3" t="str">
        <f t="shared" si="108"/>
        <v>Saturday</v>
      </c>
      <c r="E861">
        <v>388187.60139999999</v>
      </c>
      <c r="F861">
        <v>414644.62349999999</v>
      </c>
      <c r="G861">
        <v>11363</v>
      </c>
      <c r="H861" s="1">
        <f t="shared" si="109"/>
        <v>34.162422018833055</v>
      </c>
      <c r="I861" s="1" t="str">
        <f t="shared" si="110"/>
        <v>Low</v>
      </c>
      <c r="J861">
        <f t="shared" si="111"/>
        <v>-6.8155247629194378</v>
      </c>
      <c r="K861">
        <f t="shared" si="112"/>
        <v>36.490770351139666</v>
      </c>
      <c r="L861">
        <f t="shared" si="113"/>
        <v>-6.8155247629194422</v>
      </c>
    </row>
    <row r="862" spans="1:12" x14ac:dyDescent="0.25">
      <c r="A862" s="3">
        <v>42498</v>
      </c>
      <c r="B862" s="3" t="str">
        <f t="shared" si="106"/>
        <v>May</v>
      </c>
      <c r="C862" s="3" t="str">
        <f t="shared" si="107"/>
        <v>2016</v>
      </c>
      <c r="D862" s="3" t="str">
        <f t="shared" si="108"/>
        <v>Sunday</v>
      </c>
      <c r="E862">
        <v>139178.9841</v>
      </c>
      <c r="F862">
        <v>148731.09049999999</v>
      </c>
      <c r="G862">
        <v>4074</v>
      </c>
      <c r="H862" s="1">
        <f t="shared" si="109"/>
        <v>34.162735419734908</v>
      </c>
      <c r="I862" s="1" t="str">
        <f t="shared" si="110"/>
        <v>Low</v>
      </c>
      <c r="J862">
        <f t="shared" si="111"/>
        <v>-6.8631815800126894</v>
      </c>
      <c r="K862">
        <f t="shared" si="112"/>
        <v>36.507385984290622</v>
      </c>
      <c r="L862">
        <f t="shared" si="113"/>
        <v>-6.8631815800126814</v>
      </c>
    </row>
    <row r="863" spans="1:12" x14ac:dyDescent="0.25">
      <c r="A863" s="3">
        <v>42499</v>
      </c>
      <c r="B863" s="3" t="str">
        <f t="shared" si="106"/>
        <v>May</v>
      </c>
      <c r="C863" s="3" t="str">
        <f t="shared" si="107"/>
        <v>2016</v>
      </c>
      <c r="D863" s="3" t="str">
        <f t="shared" si="108"/>
        <v>Monday</v>
      </c>
      <c r="E863">
        <v>66400.303050000002</v>
      </c>
      <c r="F863">
        <v>57741.73891</v>
      </c>
      <c r="G863">
        <v>1579</v>
      </c>
      <c r="H863" s="1">
        <f t="shared" si="109"/>
        <v>42.052123527549085</v>
      </c>
      <c r="I863" s="1" t="str">
        <f t="shared" si="110"/>
        <v>Medium</v>
      </c>
      <c r="J863">
        <f t="shared" si="111"/>
        <v>13.039946720544377</v>
      </c>
      <c r="K863">
        <f t="shared" si="112"/>
        <v>36.568549024699173</v>
      </c>
      <c r="L863">
        <f t="shared" si="113"/>
        <v>13.039946720544387</v>
      </c>
    </row>
    <row r="864" spans="1:12" x14ac:dyDescent="0.25">
      <c r="A864" s="3">
        <v>42500</v>
      </c>
      <c r="B864" s="3" t="str">
        <f t="shared" si="106"/>
        <v>May</v>
      </c>
      <c r="C864" s="3" t="str">
        <f t="shared" si="107"/>
        <v>2016</v>
      </c>
      <c r="D864" s="3" t="str">
        <f t="shared" si="108"/>
        <v>Tuesday</v>
      </c>
      <c r="E864">
        <v>42723.524460000001</v>
      </c>
      <c r="F864">
        <v>37112.985059999999</v>
      </c>
      <c r="G864">
        <v>1016</v>
      </c>
      <c r="H864" s="1">
        <f t="shared" si="109"/>
        <v>42.050713051181106</v>
      </c>
      <c r="I864" s="1" t="str">
        <f t="shared" si="110"/>
        <v>Medium</v>
      </c>
      <c r="J864">
        <f t="shared" si="111"/>
        <v>13.132201687276249</v>
      </c>
      <c r="K864">
        <f t="shared" si="112"/>
        <v>36.528528602362201</v>
      </c>
      <c r="L864">
        <f t="shared" si="113"/>
        <v>13.132201687276263</v>
      </c>
    </row>
    <row r="865" spans="1:12" x14ac:dyDescent="0.25">
      <c r="A865" s="3">
        <v>42501</v>
      </c>
      <c r="B865" s="3" t="str">
        <f t="shared" si="106"/>
        <v>May</v>
      </c>
      <c r="C865" s="3" t="str">
        <f t="shared" si="107"/>
        <v>2016</v>
      </c>
      <c r="D865" s="3" t="str">
        <f t="shared" si="108"/>
        <v>Wednesday</v>
      </c>
      <c r="E865">
        <v>35014.39948</v>
      </c>
      <c r="F865">
        <v>30393.740119999999</v>
      </c>
      <c r="G865">
        <v>832</v>
      </c>
      <c r="H865" s="1">
        <f t="shared" si="109"/>
        <v>42.084614759615384</v>
      </c>
      <c r="I865" s="1" t="str">
        <f t="shared" si="110"/>
        <v>High</v>
      </c>
      <c r="J865">
        <f t="shared" si="111"/>
        <v>13.19645468327764</v>
      </c>
      <c r="K865">
        <f t="shared" si="112"/>
        <v>36.530937644230768</v>
      </c>
      <c r="L865">
        <f t="shared" si="113"/>
        <v>13.196454683277636</v>
      </c>
    </row>
    <row r="866" spans="1:12" x14ac:dyDescent="0.25">
      <c r="A866" s="3">
        <v>42502</v>
      </c>
      <c r="B866" s="3" t="str">
        <f t="shared" si="106"/>
        <v>May</v>
      </c>
      <c r="C866" s="3" t="str">
        <f t="shared" si="107"/>
        <v>2016</v>
      </c>
      <c r="D866" s="3" t="str">
        <f t="shared" si="108"/>
        <v>Thursday</v>
      </c>
      <c r="E866">
        <v>27210.406630000001</v>
      </c>
      <c r="F866">
        <v>23570.159159999999</v>
      </c>
      <c r="G866">
        <v>647</v>
      </c>
      <c r="H866" s="1">
        <f t="shared" si="109"/>
        <v>42.056269907264301</v>
      </c>
      <c r="I866" s="1" t="str">
        <f t="shared" si="110"/>
        <v>Medium</v>
      </c>
      <c r="J866">
        <f t="shared" si="111"/>
        <v>13.378144323600658</v>
      </c>
      <c r="K866">
        <f t="shared" si="112"/>
        <v>36.429921421947448</v>
      </c>
      <c r="L866">
        <f t="shared" si="113"/>
        <v>13.378144323600663</v>
      </c>
    </row>
    <row r="867" spans="1:12" x14ac:dyDescent="0.25">
      <c r="A867" s="3">
        <v>42503</v>
      </c>
      <c r="B867" s="3" t="str">
        <f t="shared" si="106"/>
        <v>May</v>
      </c>
      <c r="C867" s="3" t="str">
        <f t="shared" si="107"/>
        <v>2016</v>
      </c>
      <c r="D867" s="3" t="str">
        <f t="shared" si="108"/>
        <v>Friday</v>
      </c>
      <c r="E867">
        <v>79840.088250000001</v>
      </c>
      <c r="F867">
        <v>69078.714139999996</v>
      </c>
      <c r="G867">
        <v>1898</v>
      </c>
      <c r="H867" s="1">
        <f t="shared" si="109"/>
        <v>42.065378424657531</v>
      </c>
      <c r="I867" s="1" t="str">
        <f t="shared" si="110"/>
        <v>High</v>
      </c>
      <c r="J867">
        <f t="shared" si="111"/>
        <v>13.478660089031159</v>
      </c>
      <c r="K867">
        <f t="shared" si="112"/>
        <v>36.395529051633297</v>
      </c>
      <c r="L867">
        <f t="shared" si="113"/>
        <v>13.47866008903115</v>
      </c>
    </row>
    <row r="868" spans="1:12" x14ac:dyDescent="0.25">
      <c r="A868" s="3">
        <v>42504</v>
      </c>
      <c r="B868" s="3" t="str">
        <f t="shared" si="106"/>
        <v>May</v>
      </c>
      <c r="C868" s="3" t="str">
        <f t="shared" si="107"/>
        <v>2016</v>
      </c>
      <c r="D868" s="3" t="str">
        <f t="shared" si="108"/>
        <v>Saturday</v>
      </c>
      <c r="E868">
        <v>82484.44829</v>
      </c>
      <c r="F868">
        <v>71426.011639999997</v>
      </c>
      <c r="G868">
        <v>1961</v>
      </c>
      <c r="H868" s="1">
        <f t="shared" si="109"/>
        <v>42.062441759306473</v>
      </c>
      <c r="I868" s="1" t="str">
        <f t="shared" si="110"/>
        <v>High</v>
      </c>
      <c r="J868">
        <f t="shared" si="111"/>
        <v>13.406692872722617</v>
      </c>
      <c r="K868">
        <f t="shared" si="112"/>
        <v>36.423259377868433</v>
      </c>
      <c r="L868">
        <f t="shared" si="113"/>
        <v>13.406692872722612</v>
      </c>
    </row>
    <row r="869" spans="1:12" x14ac:dyDescent="0.25">
      <c r="A869" s="3">
        <v>42505</v>
      </c>
      <c r="B869" s="3" t="str">
        <f t="shared" si="106"/>
        <v>May</v>
      </c>
      <c r="C869" s="3" t="str">
        <f t="shared" si="107"/>
        <v>2016</v>
      </c>
      <c r="D869" s="3" t="str">
        <f t="shared" si="108"/>
        <v>Sunday</v>
      </c>
      <c r="E869">
        <v>51497.23734</v>
      </c>
      <c r="F869">
        <v>44611.939680000003</v>
      </c>
      <c r="G869">
        <v>1224</v>
      </c>
      <c r="H869" s="1">
        <f t="shared" si="109"/>
        <v>42.072906323529409</v>
      </c>
      <c r="I869" s="1" t="str">
        <f t="shared" si="110"/>
        <v>High</v>
      </c>
      <c r="J869">
        <f t="shared" si="111"/>
        <v>13.370227250330387</v>
      </c>
      <c r="K869">
        <f t="shared" si="112"/>
        <v>36.447663137254906</v>
      </c>
      <c r="L869">
        <f t="shared" si="113"/>
        <v>13.37022725033038</v>
      </c>
    </row>
    <row r="870" spans="1:12" x14ac:dyDescent="0.25">
      <c r="A870" s="3">
        <v>42506</v>
      </c>
      <c r="B870" s="3" t="str">
        <f t="shared" si="106"/>
        <v>May</v>
      </c>
      <c r="C870" s="3" t="str">
        <f t="shared" si="107"/>
        <v>2016</v>
      </c>
      <c r="D870" s="3" t="str">
        <f t="shared" si="108"/>
        <v>Monday</v>
      </c>
      <c r="E870">
        <v>42871.832869999998</v>
      </c>
      <c r="F870">
        <v>37139.308259999998</v>
      </c>
      <c r="G870">
        <v>1019</v>
      </c>
      <c r="H870" s="1">
        <f t="shared" si="109"/>
        <v>42.072456202158975</v>
      </c>
      <c r="I870" s="1" t="str">
        <f t="shared" si="110"/>
        <v>High</v>
      </c>
      <c r="J870">
        <f t="shared" si="111"/>
        <v>13.371307514149674</v>
      </c>
      <c r="K870">
        <f t="shared" si="112"/>
        <v>36.446818704612362</v>
      </c>
      <c r="L870">
        <f t="shared" si="113"/>
        <v>13.371307514149672</v>
      </c>
    </row>
    <row r="871" spans="1:12" x14ac:dyDescent="0.25">
      <c r="A871" s="3">
        <v>42507</v>
      </c>
      <c r="B871" s="3" t="str">
        <f t="shared" si="106"/>
        <v>May</v>
      </c>
      <c r="C871" s="3" t="str">
        <f t="shared" si="107"/>
        <v>2016</v>
      </c>
      <c r="D871" s="3" t="str">
        <f t="shared" si="108"/>
        <v>Tuesday</v>
      </c>
      <c r="E871">
        <v>39104.6391</v>
      </c>
      <c r="F871">
        <v>33890.360430000001</v>
      </c>
      <c r="G871">
        <v>930</v>
      </c>
      <c r="H871" s="1">
        <f t="shared" si="109"/>
        <v>42.047999032258062</v>
      </c>
      <c r="I871" s="1" t="str">
        <f t="shared" si="110"/>
        <v>Medium</v>
      </c>
      <c r="J871">
        <f t="shared" si="111"/>
        <v>13.334169014233401</v>
      </c>
      <c r="K871">
        <f t="shared" si="112"/>
        <v>36.441247774193549</v>
      </c>
      <c r="L871">
        <f t="shared" si="113"/>
        <v>13.334169014233396</v>
      </c>
    </row>
    <row r="872" spans="1:12" x14ac:dyDescent="0.25">
      <c r="A872" s="3">
        <v>42508</v>
      </c>
      <c r="B872" s="3" t="str">
        <f t="shared" si="106"/>
        <v>May</v>
      </c>
      <c r="C872" s="3" t="str">
        <f t="shared" si="107"/>
        <v>2016</v>
      </c>
      <c r="D872" s="3" t="str">
        <f t="shared" si="108"/>
        <v>Wednesday</v>
      </c>
      <c r="E872">
        <v>34406.750010000003</v>
      </c>
      <c r="F872">
        <v>29884.330590000001</v>
      </c>
      <c r="G872">
        <v>818</v>
      </c>
      <c r="H872" s="1">
        <f t="shared" si="109"/>
        <v>42.062041577017119</v>
      </c>
      <c r="I872" s="1" t="str">
        <f t="shared" si="110"/>
        <v>High</v>
      </c>
      <c r="J872">
        <f t="shared" si="111"/>
        <v>13.143988951835331</v>
      </c>
      <c r="K872">
        <f t="shared" si="112"/>
        <v>36.533411479217605</v>
      </c>
      <c r="L872">
        <f t="shared" si="113"/>
        <v>13.143988951835331</v>
      </c>
    </row>
    <row r="873" spans="1:12" x14ac:dyDescent="0.25">
      <c r="A873" s="3">
        <v>42509</v>
      </c>
      <c r="B873" s="3" t="str">
        <f t="shared" si="106"/>
        <v>May</v>
      </c>
      <c r="C873" s="3" t="str">
        <f t="shared" si="107"/>
        <v>2016</v>
      </c>
      <c r="D873" s="3" t="str">
        <f t="shared" si="108"/>
        <v>Thursday</v>
      </c>
      <c r="E873">
        <v>39403.658560000003</v>
      </c>
      <c r="F873">
        <v>34229.63192</v>
      </c>
      <c r="G873">
        <v>937</v>
      </c>
      <c r="H873" s="1">
        <f t="shared" si="109"/>
        <v>42.052997395944509</v>
      </c>
      <c r="I873" s="1" t="str">
        <f t="shared" si="110"/>
        <v>Medium</v>
      </c>
      <c r="J873">
        <f t="shared" si="111"/>
        <v>13.130828022279978</v>
      </c>
      <c r="K873">
        <f t="shared" si="112"/>
        <v>36.531090629669158</v>
      </c>
      <c r="L873">
        <f t="shared" si="113"/>
        <v>13.130828022279974</v>
      </c>
    </row>
    <row r="874" spans="1:12" x14ac:dyDescent="0.25">
      <c r="A874" s="3">
        <v>42510</v>
      </c>
      <c r="B874" s="3" t="str">
        <f t="shared" si="106"/>
        <v>May</v>
      </c>
      <c r="C874" s="3" t="str">
        <f t="shared" si="107"/>
        <v>2016</v>
      </c>
      <c r="D874" s="3" t="str">
        <f t="shared" si="108"/>
        <v>Friday</v>
      </c>
      <c r="E874">
        <v>96830.902419999999</v>
      </c>
      <c r="F874">
        <v>83926.003500000006</v>
      </c>
      <c r="G874">
        <v>2302</v>
      </c>
      <c r="H874" s="1">
        <f t="shared" si="109"/>
        <v>42.063815125977413</v>
      </c>
      <c r="I874" s="1" t="str">
        <f t="shared" si="110"/>
        <v>High</v>
      </c>
      <c r="J874">
        <f t="shared" si="111"/>
        <v>13.32725255830575</v>
      </c>
      <c r="K874">
        <f t="shared" si="112"/>
        <v>36.457864248479588</v>
      </c>
      <c r="L874">
        <f t="shared" si="113"/>
        <v>13.32725255830575</v>
      </c>
    </row>
    <row r="875" spans="1:12" x14ac:dyDescent="0.25">
      <c r="A875" s="3">
        <v>42511</v>
      </c>
      <c r="B875" s="3" t="str">
        <f t="shared" si="106"/>
        <v>May</v>
      </c>
      <c r="C875" s="3" t="str">
        <f t="shared" si="107"/>
        <v>2016</v>
      </c>
      <c r="D875" s="3" t="str">
        <f t="shared" si="108"/>
        <v>Saturday</v>
      </c>
      <c r="E875">
        <v>99380.3946</v>
      </c>
      <c r="F875">
        <v>86179.513389999993</v>
      </c>
      <c r="G875">
        <v>2363</v>
      </c>
      <c r="H875" s="1">
        <f t="shared" si="109"/>
        <v>42.056874566229368</v>
      </c>
      <c r="I875" s="1" t="str">
        <f t="shared" si="110"/>
        <v>Medium</v>
      </c>
      <c r="J875">
        <f t="shared" si="111"/>
        <v>13.283184538693718</v>
      </c>
      <c r="K875">
        <f t="shared" si="112"/>
        <v>36.470382306390178</v>
      </c>
      <c r="L875">
        <f t="shared" si="113"/>
        <v>13.283184538693718</v>
      </c>
    </row>
    <row r="876" spans="1:12" x14ac:dyDescent="0.25">
      <c r="A876" s="3">
        <v>42512</v>
      </c>
      <c r="B876" s="3" t="str">
        <f t="shared" si="106"/>
        <v>May</v>
      </c>
      <c r="C876" s="3" t="str">
        <f t="shared" si="107"/>
        <v>2016</v>
      </c>
      <c r="D876" s="3" t="str">
        <f t="shared" si="108"/>
        <v>Sunday</v>
      </c>
      <c r="E876">
        <v>61656.181329999999</v>
      </c>
      <c r="F876">
        <v>53463.734559999997</v>
      </c>
      <c r="G876">
        <v>1466</v>
      </c>
      <c r="H876" s="1">
        <f t="shared" si="109"/>
        <v>42.057422462482947</v>
      </c>
      <c r="I876" s="1" t="str">
        <f t="shared" si="110"/>
        <v>Medium</v>
      </c>
      <c r="J876">
        <f t="shared" si="111"/>
        <v>13.287308090249518</v>
      </c>
      <c r="K876">
        <f t="shared" si="112"/>
        <v>36.469123165075032</v>
      </c>
      <c r="L876">
        <f t="shared" si="113"/>
        <v>13.287308090249518</v>
      </c>
    </row>
    <row r="877" spans="1:12" x14ac:dyDescent="0.25">
      <c r="A877" s="3">
        <v>42513</v>
      </c>
      <c r="B877" s="3" t="str">
        <f t="shared" si="106"/>
        <v>May</v>
      </c>
      <c r="C877" s="3" t="str">
        <f t="shared" si="107"/>
        <v>2016</v>
      </c>
      <c r="D877" s="3" t="str">
        <f t="shared" si="108"/>
        <v>Monday</v>
      </c>
      <c r="E877">
        <v>69163.557369999995</v>
      </c>
      <c r="F877">
        <v>59948.438710000002</v>
      </c>
      <c r="G877">
        <v>1644</v>
      </c>
      <c r="H877" s="1">
        <f t="shared" si="109"/>
        <v>42.070290371046227</v>
      </c>
      <c r="I877" s="1" t="str">
        <f t="shared" si="110"/>
        <v>High</v>
      </c>
      <c r="J877">
        <f t="shared" si="111"/>
        <v>13.323662070622602</v>
      </c>
      <c r="K877">
        <f t="shared" si="112"/>
        <v>36.464987049878346</v>
      </c>
      <c r="L877">
        <f t="shared" si="113"/>
        <v>13.323662070622607</v>
      </c>
    </row>
    <row r="878" spans="1:12" x14ac:dyDescent="0.25">
      <c r="A878" s="3">
        <v>42514</v>
      </c>
      <c r="B878" s="3" t="str">
        <f t="shared" si="106"/>
        <v>May</v>
      </c>
      <c r="C878" s="3" t="str">
        <f t="shared" si="107"/>
        <v>2016</v>
      </c>
      <c r="D878" s="3" t="str">
        <f t="shared" si="108"/>
        <v>Tuesday</v>
      </c>
      <c r="E878">
        <v>113112.86500000001</v>
      </c>
      <c r="F878">
        <v>117414.6989</v>
      </c>
      <c r="G878">
        <v>3224</v>
      </c>
      <c r="H878" s="1">
        <f t="shared" si="109"/>
        <v>35.084635545905712</v>
      </c>
      <c r="I878" s="1" t="str">
        <f t="shared" si="110"/>
        <v>Low</v>
      </c>
      <c r="J878">
        <f t="shared" si="111"/>
        <v>-3.8031340643701297</v>
      </c>
      <c r="K878">
        <f t="shared" si="112"/>
        <v>36.41895127171216</v>
      </c>
      <c r="L878">
        <f t="shared" si="113"/>
        <v>-3.8031340643701208</v>
      </c>
    </row>
    <row r="879" spans="1:12" x14ac:dyDescent="0.25">
      <c r="A879" s="3">
        <v>42515</v>
      </c>
      <c r="B879" s="3" t="str">
        <f t="shared" si="106"/>
        <v>May</v>
      </c>
      <c r="C879" s="3" t="str">
        <f t="shared" si="107"/>
        <v>2016</v>
      </c>
      <c r="D879" s="3" t="str">
        <f t="shared" si="108"/>
        <v>Wednesday</v>
      </c>
      <c r="E879">
        <v>253686.30249999999</v>
      </c>
      <c r="F879">
        <v>268974.57069999998</v>
      </c>
      <c r="G879">
        <v>7392</v>
      </c>
      <c r="H879" s="1">
        <f t="shared" si="109"/>
        <v>34.319034429112556</v>
      </c>
      <c r="I879" s="1" t="str">
        <f t="shared" si="110"/>
        <v>Low</v>
      </c>
      <c r="J879">
        <f t="shared" si="111"/>
        <v>-6.0264460671856703</v>
      </c>
      <c r="K879">
        <f t="shared" si="112"/>
        <v>36.387252529761902</v>
      </c>
      <c r="L879">
        <f t="shared" si="113"/>
        <v>-6.0264460671856614</v>
      </c>
    </row>
    <row r="880" spans="1:12" x14ac:dyDescent="0.25">
      <c r="A880" s="3">
        <v>42516</v>
      </c>
      <c r="B880" s="3" t="str">
        <f t="shared" si="106"/>
        <v>May</v>
      </c>
      <c r="C880" s="3" t="str">
        <f t="shared" si="107"/>
        <v>2016</v>
      </c>
      <c r="D880" s="3" t="str">
        <f t="shared" si="108"/>
        <v>Thursday</v>
      </c>
      <c r="E880">
        <v>210305.29190000001</v>
      </c>
      <c r="F880">
        <v>223289.0846</v>
      </c>
      <c r="G880">
        <v>6138</v>
      </c>
      <c r="H880" s="1">
        <f t="shared" si="109"/>
        <v>34.262836738351254</v>
      </c>
      <c r="I880" s="1" t="str">
        <f t="shared" si="110"/>
        <v>Low</v>
      </c>
      <c r="J880">
        <f t="shared" si="111"/>
        <v>-6.1737831619442911</v>
      </c>
      <c r="K880">
        <f t="shared" si="112"/>
        <v>36.378149983708049</v>
      </c>
      <c r="L880">
        <f t="shared" si="113"/>
        <v>-6.1737831619442991</v>
      </c>
    </row>
    <row r="881" spans="1:12" x14ac:dyDescent="0.25">
      <c r="A881" s="3">
        <v>42517</v>
      </c>
      <c r="B881" s="3" t="str">
        <f t="shared" si="106"/>
        <v>May</v>
      </c>
      <c r="C881" s="3" t="str">
        <f t="shared" si="107"/>
        <v>2016</v>
      </c>
      <c r="D881" s="3" t="str">
        <f t="shared" si="108"/>
        <v>Friday</v>
      </c>
      <c r="E881">
        <v>364087.42430000001</v>
      </c>
      <c r="F881">
        <v>386499.89640000003</v>
      </c>
      <c r="G881">
        <v>10624</v>
      </c>
      <c r="H881" s="1">
        <f t="shared" si="109"/>
        <v>34.270277136671687</v>
      </c>
      <c r="I881" s="1" t="str">
        <f t="shared" si="110"/>
        <v>Low</v>
      </c>
      <c r="J881">
        <f t="shared" si="111"/>
        <v>-6.1557940769557122</v>
      </c>
      <c r="K881">
        <f t="shared" si="112"/>
        <v>36.379884826807235</v>
      </c>
      <c r="L881">
        <f t="shared" si="113"/>
        <v>-6.1557940769557238</v>
      </c>
    </row>
    <row r="882" spans="1:12" x14ac:dyDescent="0.25">
      <c r="A882" s="3">
        <v>42518</v>
      </c>
      <c r="B882" s="3" t="str">
        <f t="shared" si="106"/>
        <v>May</v>
      </c>
      <c r="C882" s="3" t="str">
        <f t="shared" si="107"/>
        <v>2016</v>
      </c>
      <c r="D882" s="3" t="str">
        <f t="shared" si="108"/>
        <v>Saturday</v>
      </c>
      <c r="E882">
        <v>397480.36949999997</v>
      </c>
      <c r="F882">
        <v>421674.10190000001</v>
      </c>
      <c r="G882">
        <v>11590</v>
      </c>
      <c r="H882" s="1">
        <f t="shared" si="109"/>
        <v>34.29511384814495</v>
      </c>
      <c r="I882" s="1" t="str">
        <f t="shared" si="110"/>
        <v>Low</v>
      </c>
      <c r="J882">
        <f t="shared" si="111"/>
        <v>-6.0867741545158349</v>
      </c>
      <c r="K882">
        <f t="shared" si="112"/>
        <v>36.382579974115615</v>
      </c>
      <c r="L882">
        <f t="shared" si="113"/>
        <v>-6.0867741545158243</v>
      </c>
    </row>
    <row r="883" spans="1:12" x14ac:dyDescent="0.25">
      <c r="A883" s="3">
        <v>42519</v>
      </c>
      <c r="B883" s="3" t="str">
        <f t="shared" si="106"/>
        <v>May</v>
      </c>
      <c r="C883" s="3" t="str">
        <f t="shared" si="107"/>
        <v>2016</v>
      </c>
      <c r="D883" s="3" t="str">
        <f t="shared" si="108"/>
        <v>Sunday</v>
      </c>
      <c r="E883">
        <v>204028.17679999999</v>
      </c>
      <c r="F883">
        <v>216777.31570000001</v>
      </c>
      <c r="G883">
        <v>5959</v>
      </c>
      <c r="H883" s="1">
        <f t="shared" si="109"/>
        <v>34.238660312132907</v>
      </c>
      <c r="I883" s="1" t="str">
        <f t="shared" si="110"/>
        <v>Low</v>
      </c>
      <c r="J883">
        <f t="shared" si="111"/>
        <v>-6.2487148098654286</v>
      </c>
      <c r="K883">
        <f t="shared" si="112"/>
        <v>36.378136549756668</v>
      </c>
      <c r="L883">
        <f t="shared" si="113"/>
        <v>-6.2487148098654144</v>
      </c>
    </row>
    <row r="884" spans="1:12" x14ac:dyDescent="0.25">
      <c r="A884" s="3">
        <v>42520</v>
      </c>
      <c r="B884" s="3" t="str">
        <f t="shared" si="106"/>
        <v>May</v>
      </c>
      <c r="C884" s="3" t="str">
        <f t="shared" si="107"/>
        <v>2016</v>
      </c>
      <c r="D884" s="3" t="str">
        <f t="shared" si="108"/>
        <v>Monday</v>
      </c>
      <c r="E884">
        <v>172797.9351</v>
      </c>
      <c r="F884">
        <v>183715.80720000001</v>
      </c>
      <c r="G884">
        <v>5048</v>
      </c>
      <c r="H884" s="1">
        <f t="shared" si="109"/>
        <v>34.230969710776549</v>
      </c>
      <c r="I884" s="1" t="str">
        <f t="shared" si="110"/>
        <v>Low</v>
      </c>
      <c r="J884">
        <f t="shared" si="111"/>
        <v>-6.3182885221873279</v>
      </c>
      <c r="K884">
        <f t="shared" si="112"/>
        <v>36.393781141045963</v>
      </c>
      <c r="L884">
        <f t="shared" si="113"/>
        <v>-6.3182885221873253</v>
      </c>
    </row>
    <row r="885" spans="1:12" x14ac:dyDescent="0.25">
      <c r="A885" s="3">
        <v>42521</v>
      </c>
      <c r="B885" s="3" t="str">
        <f t="shared" si="106"/>
        <v>May</v>
      </c>
      <c r="C885" s="3" t="str">
        <f t="shared" si="107"/>
        <v>2016</v>
      </c>
      <c r="D885" s="3" t="str">
        <f t="shared" si="108"/>
        <v>Tuesday</v>
      </c>
      <c r="E885">
        <v>258970.65410000001</v>
      </c>
      <c r="F885">
        <v>274386.01539999997</v>
      </c>
      <c r="G885">
        <v>7542</v>
      </c>
      <c r="H885" s="1">
        <f t="shared" si="109"/>
        <v>34.337132604083799</v>
      </c>
      <c r="I885" s="1" t="str">
        <f t="shared" si="110"/>
        <v>Low</v>
      </c>
      <c r="J885">
        <f t="shared" si="111"/>
        <v>-5.9525514014601084</v>
      </c>
      <c r="K885">
        <f t="shared" si="112"/>
        <v>36.381068072129402</v>
      </c>
      <c r="L885">
        <f t="shared" si="113"/>
        <v>-5.9525514014601013</v>
      </c>
    </row>
    <row r="886" spans="1:12" x14ac:dyDescent="0.25">
      <c r="A886" s="3">
        <v>42522</v>
      </c>
      <c r="B886" s="3" t="str">
        <f t="shared" si="106"/>
        <v>Jun</v>
      </c>
      <c r="C886" s="3" t="str">
        <f t="shared" si="107"/>
        <v>2016</v>
      </c>
      <c r="D886" s="3" t="str">
        <f t="shared" si="108"/>
        <v>Wednesday</v>
      </c>
      <c r="E886">
        <v>368789.57260000001</v>
      </c>
      <c r="F886">
        <v>391923.65960000001</v>
      </c>
      <c r="G886">
        <v>10761</v>
      </c>
      <c r="H886" s="1">
        <f t="shared" si="109"/>
        <v>34.27093881609516</v>
      </c>
      <c r="I886" s="1" t="str">
        <f t="shared" si="110"/>
        <v>Low</v>
      </c>
      <c r="J886">
        <f t="shared" si="111"/>
        <v>-6.2729775239854488</v>
      </c>
      <c r="K886">
        <f t="shared" si="112"/>
        <v>36.420747105287617</v>
      </c>
      <c r="L886">
        <f t="shared" si="113"/>
        <v>-6.2729775239854568</v>
      </c>
    </row>
    <row r="887" spans="1:12" x14ac:dyDescent="0.25">
      <c r="A887" s="3">
        <v>42523</v>
      </c>
      <c r="B887" s="3" t="str">
        <f t="shared" si="106"/>
        <v>Jun</v>
      </c>
      <c r="C887" s="3" t="str">
        <f t="shared" si="107"/>
        <v>2016</v>
      </c>
      <c r="D887" s="3" t="str">
        <f t="shared" si="108"/>
        <v>Thursday</v>
      </c>
      <c r="E887">
        <v>278071.38660000003</v>
      </c>
      <c r="F887">
        <v>295548.24160000001</v>
      </c>
      <c r="G887">
        <v>8120</v>
      </c>
      <c r="H887" s="1">
        <f t="shared" si="109"/>
        <v>34.245244655172414</v>
      </c>
      <c r="I887" s="1" t="str">
        <f t="shared" si="110"/>
        <v>Low</v>
      </c>
      <c r="J887">
        <f t="shared" si="111"/>
        <v>-6.2850245808066818</v>
      </c>
      <c r="K887">
        <f t="shared" si="112"/>
        <v>36.397566699507394</v>
      </c>
      <c r="L887">
        <f t="shared" si="113"/>
        <v>-6.2850245808067031</v>
      </c>
    </row>
    <row r="888" spans="1:12" x14ac:dyDescent="0.25">
      <c r="A888" s="3">
        <v>42524</v>
      </c>
      <c r="B888" s="3" t="str">
        <f t="shared" si="106"/>
        <v>Jun</v>
      </c>
      <c r="C888" s="3" t="str">
        <f t="shared" si="107"/>
        <v>2016</v>
      </c>
      <c r="D888" s="3" t="str">
        <f t="shared" si="108"/>
        <v>Friday</v>
      </c>
      <c r="E888">
        <v>373959.36200000002</v>
      </c>
      <c r="F888">
        <v>396324.17869999999</v>
      </c>
      <c r="G888">
        <v>10896</v>
      </c>
      <c r="H888" s="1">
        <f t="shared" si="109"/>
        <v>34.32079313509545</v>
      </c>
      <c r="I888" s="1" t="str">
        <f t="shared" si="110"/>
        <v>Low</v>
      </c>
      <c r="J888">
        <f t="shared" si="111"/>
        <v>-5.9805473462113685</v>
      </c>
      <c r="K888">
        <f t="shared" si="112"/>
        <v>36.373364418135097</v>
      </c>
      <c r="L888">
        <f t="shared" si="113"/>
        <v>-5.9805473462113765</v>
      </c>
    </row>
    <row r="889" spans="1:12" x14ac:dyDescent="0.25">
      <c r="A889" s="3">
        <v>42525</v>
      </c>
      <c r="B889" s="3" t="str">
        <f t="shared" si="106"/>
        <v>Jun</v>
      </c>
      <c r="C889" s="3" t="str">
        <f t="shared" si="107"/>
        <v>2016</v>
      </c>
      <c r="D889" s="3" t="str">
        <f t="shared" si="108"/>
        <v>Saturday</v>
      </c>
      <c r="E889">
        <v>402057.25290000002</v>
      </c>
      <c r="F889">
        <v>426466.13219999999</v>
      </c>
      <c r="G889">
        <v>11726</v>
      </c>
      <c r="H889" s="1">
        <f t="shared" si="109"/>
        <v>34.28767294047416</v>
      </c>
      <c r="I889" s="1" t="str">
        <f t="shared" si="110"/>
        <v>Low</v>
      </c>
      <c r="J889">
        <f t="shared" si="111"/>
        <v>-6.0709958902472447</v>
      </c>
      <c r="K889">
        <f t="shared" si="112"/>
        <v>36.369276155551766</v>
      </c>
      <c r="L889">
        <f t="shared" si="113"/>
        <v>-6.0709958902472563</v>
      </c>
    </row>
    <row r="890" spans="1:12" x14ac:dyDescent="0.25">
      <c r="A890" s="3">
        <v>42526</v>
      </c>
      <c r="B890" s="3" t="str">
        <f t="shared" si="106"/>
        <v>Jun</v>
      </c>
      <c r="C890" s="3" t="str">
        <f t="shared" si="107"/>
        <v>2016</v>
      </c>
      <c r="D890" s="3" t="str">
        <f t="shared" si="108"/>
        <v>Sunday</v>
      </c>
      <c r="E890">
        <v>205719.45319999999</v>
      </c>
      <c r="F890">
        <v>218408.18210000001</v>
      </c>
      <c r="G890">
        <v>6007</v>
      </c>
      <c r="H890" s="1">
        <f t="shared" si="109"/>
        <v>34.246621142000997</v>
      </c>
      <c r="I890" s="1" t="str">
        <f t="shared" si="110"/>
        <v>Low</v>
      </c>
      <c r="J890">
        <f t="shared" si="111"/>
        <v>-6.1679771662935847</v>
      </c>
      <c r="K890">
        <f t="shared" si="112"/>
        <v>36.358944914266687</v>
      </c>
      <c r="L890">
        <f t="shared" si="113"/>
        <v>-6.1679771662935758</v>
      </c>
    </row>
    <row r="891" spans="1:12" x14ac:dyDescent="0.25">
      <c r="A891" s="3">
        <v>42527</v>
      </c>
      <c r="B891" s="3" t="str">
        <f t="shared" si="106"/>
        <v>Jun</v>
      </c>
      <c r="C891" s="3" t="str">
        <f t="shared" si="107"/>
        <v>2016</v>
      </c>
      <c r="D891" s="3" t="str">
        <f t="shared" si="108"/>
        <v>Monday</v>
      </c>
      <c r="E891">
        <v>177626.95009999999</v>
      </c>
      <c r="F891">
        <v>188629.7542</v>
      </c>
      <c r="G891">
        <v>5185</v>
      </c>
      <c r="H891" s="1">
        <f t="shared" si="109"/>
        <v>34.257849585342328</v>
      </c>
      <c r="I891" s="1" t="str">
        <f t="shared" si="110"/>
        <v>Low</v>
      </c>
      <c r="J891">
        <f t="shared" si="111"/>
        <v>-6.1943326132693697</v>
      </c>
      <c r="K891">
        <f t="shared" si="112"/>
        <v>36.379894734811955</v>
      </c>
      <c r="L891">
        <f t="shared" si="113"/>
        <v>-6.1943326132693768</v>
      </c>
    </row>
    <row r="892" spans="1:12" x14ac:dyDescent="0.25">
      <c r="A892" s="3">
        <v>42528</v>
      </c>
      <c r="B892" s="3" t="str">
        <f t="shared" si="106"/>
        <v>Jun</v>
      </c>
      <c r="C892" s="3" t="str">
        <f t="shared" si="107"/>
        <v>2016</v>
      </c>
      <c r="D892" s="3" t="str">
        <f t="shared" si="108"/>
        <v>Tuesday</v>
      </c>
      <c r="E892">
        <v>70441.90741</v>
      </c>
      <c r="F892">
        <v>60910.748399999997</v>
      </c>
      <c r="G892">
        <v>1675</v>
      </c>
      <c r="H892" s="1">
        <f t="shared" si="109"/>
        <v>42.054870095522389</v>
      </c>
      <c r="I892" s="1" t="str">
        <f t="shared" si="110"/>
        <v>Medium</v>
      </c>
      <c r="J892">
        <f t="shared" si="111"/>
        <v>13.530523747071266</v>
      </c>
      <c r="K892">
        <f t="shared" si="112"/>
        <v>36.364625910447756</v>
      </c>
      <c r="L892">
        <f t="shared" si="113"/>
        <v>13.530523747071275</v>
      </c>
    </row>
    <row r="893" spans="1:12" x14ac:dyDescent="0.25">
      <c r="A893" s="3">
        <v>42529</v>
      </c>
      <c r="B893" s="3" t="str">
        <f t="shared" si="106"/>
        <v>Jun</v>
      </c>
      <c r="C893" s="3" t="str">
        <f t="shared" si="107"/>
        <v>2016</v>
      </c>
      <c r="D893" s="3" t="str">
        <f t="shared" si="108"/>
        <v>Wednesday</v>
      </c>
      <c r="E893">
        <v>162923.84959999999</v>
      </c>
      <c r="F893">
        <v>173292.68109999999</v>
      </c>
      <c r="G893">
        <v>4765</v>
      </c>
      <c r="H893" s="1">
        <f t="shared" si="109"/>
        <v>34.191783756558237</v>
      </c>
      <c r="I893" s="1" t="str">
        <f t="shared" si="110"/>
        <v>Low</v>
      </c>
      <c r="J893">
        <f t="shared" si="111"/>
        <v>-6.3642195574539135</v>
      </c>
      <c r="K893">
        <f t="shared" si="112"/>
        <v>36.367823945435461</v>
      </c>
      <c r="L893">
        <f t="shared" si="113"/>
        <v>-6.3642195574538958</v>
      </c>
    </row>
    <row r="894" spans="1:12" x14ac:dyDescent="0.25">
      <c r="A894" s="3">
        <v>42530</v>
      </c>
      <c r="B894" s="3" t="str">
        <f t="shared" si="106"/>
        <v>Jun</v>
      </c>
      <c r="C894" s="3" t="str">
        <f t="shared" si="107"/>
        <v>2016</v>
      </c>
      <c r="D894" s="3" t="str">
        <f t="shared" si="108"/>
        <v>Thursday</v>
      </c>
      <c r="E894">
        <v>138752.5276</v>
      </c>
      <c r="F894">
        <v>143791.47810000001</v>
      </c>
      <c r="G894">
        <v>3953</v>
      </c>
      <c r="H894" s="1">
        <f t="shared" si="109"/>
        <v>35.100563521376174</v>
      </c>
      <c r="I894" s="1" t="str">
        <f t="shared" si="110"/>
        <v>Low</v>
      </c>
      <c r="J894">
        <f t="shared" si="111"/>
        <v>-3.6316098792278915</v>
      </c>
      <c r="K894">
        <f t="shared" si="112"/>
        <v>36.375279053883126</v>
      </c>
      <c r="L894">
        <f t="shared" si="113"/>
        <v>-3.6316098792278746</v>
      </c>
    </row>
    <row r="895" spans="1:12" x14ac:dyDescent="0.25">
      <c r="A895" s="3">
        <v>42531</v>
      </c>
      <c r="B895" s="3" t="str">
        <f t="shared" si="106"/>
        <v>Jun</v>
      </c>
      <c r="C895" s="3" t="str">
        <f t="shared" si="107"/>
        <v>2016</v>
      </c>
      <c r="D895" s="3" t="str">
        <f t="shared" si="108"/>
        <v>Friday</v>
      </c>
      <c r="E895">
        <v>252458.2622</v>
      </c>
      <c r="F895">
        <v>261502.3818</v>
      </c>
      <c r="G895">
        <v>7190</v>
      </c>
      <c r="H895" s="1">
        <f t="shared" si="109"/>
        <v>35.112414770514604</v>
      </c>
      <c r="I895" s="1" t="str">
        <f t="shared" si="110"/>
        <v>Low</v>
      </c>
      <c r="J895">
        <f t="shared" si="111"/>
        <v>-3.5824217124790163</v>
      </c>
      <c r="K895">
        <f t="shared" si="112"/>
        <v>36.370289541029209</v>
      </c>
      <c r="L895">
        <f t="shared" si="113"/>
        <v>-3.5824217124790163</v>
      </c>
    </row>
    <row r="896" spans="1:12" x14ac:dyDescent="0.25">
      <c r="A896" s="3">
        <v>42532</v>
      </c>
      <c r="B896" s="3" t="str">
        <f t="shared" si="106"/>
        <v>Jun</v>
      </c>
      <c r="C896" s="3" t="str">
        <f t="shared" si="107"/>
        <v>2016</v>
      </c>
      <c r="D896" s="3" t="str">
        <f t="shared" si="108"/>
        <v>Saturday</v>
      </c>
      <c r="E896">
        <v>293917.85249999998</v>
      </c>
      <c r="F896">
        <v>311853.52049999998</v>
      </c>
      <c r="G896">
        <v>8577</v>
      </c>
      <c r="H896" s="1">
        <f t="shared" si="109"/>
        <v>34.268141832808674</v>
      </c>
      <c r="I896" s="1" t="str">
        <f t="shared" si="110"/>
        <v>Low</v>
      </c>
      <c r="J896">
        <f t="shared" si="111"/>
        <v>-6.10227240279663</v>
      </c>
      <c r="K896">
        <f t="shared" si="112"/>
        <v>36.359277194823363</v>
      </c>
      <c r="L896">
        <f t="shared" si="113"/>
        <v>-6.1022724027966264</v>
      </c>
    </row>
    <row r="897" spans="1:12" x14ac:dyDescent="0.25">
      <c r="A897" s="3">
        <v>42533</v>
      </c>
      <c r="B897" s="3" t="str">
        <f t="shared" si="106"/>
        <v>Jun</v>
      </c>
      <c r="C897" s="3" t="str">
        <f t="shared" si="107"/>
        <v>2016</v>
      </c>
      <c r="D897" s="3" t="str">
        <f t="shared" si="108"/>
        <v>Sunday</v>
      </c>
      <c r="E897">
        <v>138350.12179999999</v>
      </c>
      <c r="F897">
        <v>143346.6746</v>
      </c>
      <c r="G897">
        <v>3943</v>
      </c>
      <c r="H897" s="1">
        <f t="shared" si="109"/>
        <v>35.087527720010144</v>
      </c>
      <c r="I897" s="1" t="str">
        <f t="shared" si="110"/>
        <v>Low</v>
      </c>
      <c r="J897">
        <f t="shared" si="111"/>
        <v>-3.6115275758289975</v>
      </c>
      <c r="K897">
        <f t="shared" si="112"/>
        <v>36.354723459294952</v>
      </c>
      <c r="L897">
        <f t="shared" si="113"/>
        <v>-3.611527575828994</v>
      </c>
    </row>
    <row r="898" spans="1:12" x14ac:dyDescent="0.25">
      <c r="A898" s="3">
        <v>42534</v>
      </c>
      <c r="B898" s="3" t="str">
        <f t="shared" si="106"/>
        <v>Jun</v>
      </c>
      <c r="C898" s="3" t="str">
        <f t="shared" si="107"/>
        <v>2016</v>
      </c>
      <c r="D898" s="3" t="str">
        <f t="shared" si="108"/>
        <v>Monday</v>
      </c>
      <c r="E898">
        <v>130067.27559999999</v>
      </c>
      <c r="F898">
        <v>134950.56649999999</v>
      </c>
      <c r="G898">
        <v>3707</v>
      </c>
      <c r="H898" s="1">
        <f t="shared" si="109"/>
        <v>35.086937038036147</v>
      </c>
      <c r="I898" s="1" t="str">
        <f t="shared" si="110"/>
        <v>Low</v>
      </c>
      <c r="J898">
        <f t="shared" si="111"/>
        <v>-3.7544346781105276</v>
      </c>
      <c r="K898">
        <f t="shared" si="112"/>
        <v>36.404253169678981</v>
      </c>
      <c r="L898">
        <f t="shared" si="113"/>
        <v>-3.7544346781105209</v>
      </c>
    </row>
    <row r="899" spans="1:12" x14ac:dyDescent="0.25">
      <c r="A899" s="3">
        <v>42535</v>
      </c>
      <c r="B899" s="3" t="str">
        <f t="shared" ref="B899:B962" si="114">TEXT(A899,"mmm")</f>
        <v>Jun</v>
      </c>
      <c r="C899" s="3" t="str">
        <f t="shared" ref="C899:C962" si="115">TEXT(A899,"yyyy")</f>
        <v>2016</v>
      </c>
      <c r="D899" s="3" t="str">
        <f t="shared" ref="D899:D962" si="116">TEXT(A899,"dddd")</f>
        <v>Tuesday</v>
      </c>
      <c r="E899">
        <v>107168.6611</v>
      </c>
      <c r="F899">
        <v>111173.15850000001</v>
      </c>
      <c r="G899">
        <v>3054</v>
      </c>
      <c r="H899" s="1">
        <f t="shared" ref="H899:H962" si="117">E899/G899</f>
        <v>35.091244629993447</v>
      </c>
      <c r="I899" s="1" t="str">
        <f t="shared" ref="I899:I962" si="118">IF(H899&lt;PERCENTILE(H899:H1951,0.33),"Low", IF(H899&gt;PERCENTILE(H899:H1951,0.67),"High","Medium"))</f>
        <v>Low</v>
      </c>
      <c r="J899">
        <f t="shared" ref="J899:J962" si="119">(E899-F899)/E899 *100</f>
        <v>-3.7366309879185455</v>
      </c>
      <c r="K899">
        <f t="shared" ref="K899:K962" si="120">F899/G899</f>
        <v>36.402474950884091</v>
      </c>
      <c r="L899">
        <f t="shared" ref="L899:L962" si="121">(H899-K899)/H899 *100</f>
        <v>-3.7366309879185633</v>
      </c>
    </row>
    <row r="900" spans="1:12" x14ac:dyDescent="0.25">
      <c r="A900" s="3">
        <v>42536</v>
      </c>
      <c r="B900" s="3" t="str">
        <f t="shared" si="114"/>
        <v>Jun</v>
      </c>
      <c r="C900" s="3" t="str">
        <f t="shared" si="115"/>
        <v>2016</v>
      </c>
      <c r="D900" s="3" t="str">
        <f t="shared" si="116"/>
        <v>Wednesday</v>
      </c>
      <c r="E900">
        <v>224030.55439999999</v>
      </c>
      <c r="F900">
        <v>237934.73420000001</v>
      </c>
      <c r="G900">
        <v>6541</v>
      </c>
      <c r="H900" s="1">
        <f t="shared" si="117"/>
        <v>34.250199419049075</v>
      </c>
      <c r="I900" s="1" t="str">
        <f t="shared" si="118"/>
        <v>Low</v>
      </c>
      <c r="J900">
        <f t="shared" si="119"/>
        <v>-6.2063765530725359</v>
      </c>
      <c r="K900">
        <f t="shared" si="120"/>
        <v>36.375895765173524</v>
      </c>
      <c r="L900">
        <f t="shared" si="121"/>
        <v>-6.2063765530725412</v>
      </c>
    </row>
    <row r="901" spans="1:12" x14ac:dyDescent="0.25">
      <c r="A901" s="3">
        <v>42537</v>
      </c>
      <c r="B901" s="3" t="str">
        <f t="shared" si="114"/>
        <v>Jun</v>
      </c>
      <c r="C901" s="3" t="str">
        <f t="shared" si="115"/>
        <v>2016</v>
      </c>
      <c r="D901" s="3" t="str">
        <f t="shared" si="116"/>
        <v>Thursday</v>
      </c>
      <c r="E901">
        <v>201918.22210000001</v>
      </c>
      <c r="F901">
        <v>209095.56969999999</v>
      </c>
      <c r="G901">
        <v>5749</v>
      </c>
      <c r="H901" s="1">
        <f t="shared" si="117"/>
        <v>35.122320768829361</v>
      </c>
      <c r="I901" s="1" t="str">
        <f t="shared" si="118"/>
        <v>Low</v>
      </c>
      <c r="J901">
        <f t="shared" si="119"/>
        <v>-3.5545814168497372</v>
      </c>
      <c r="K901">
        <f t="shared" si="120"/>
        <v>36.370772256044525</v>
      </c>
      <c r="L901">
        <f t="shared" si="121"/>
        <v>-3.5545814168497349</v>
      </c>
    </row>
    <row r="902" spans="1:12" x14ac:dyDescent="0.25">
      <c r="A902" s="3">
        <v>42538</v>
      </c>
      <c r="B902" s="3" t="str">
        <f t="shared" si="114"/>
        <v>Jun</v>
      </c>
      <c r="C902" s="3" t="str">
        <f t="shared" si="115"/>
        <v>2016</v>
      </c>
      <c r="D902" s="3" t="str">
        <f t="shared" si="116"/>
        <v>Friday</v>
      </c>
      <c r="E902">
        <v>329344.2683</v>
      </c>
      <c r="F902">
        <v>341253.3296</v>
      </c>
      <c r="G902">
        <v>9385</v>
      </c>
      <c r="H902" s="1">
        <f t="shared" si="117"/>
        <v>35.0926231539691</v>
      </c>
      <c r="I902" s="1" t="str">
        <f t="shared" si="118"/>
        <v>Low</v>
      </c>
      <c r="J902">
        <f t="shared" si="119"/>
        <v>-3.6159916677681565</v>
      </c>
      <c r="K902">
        <f t="shared" si="120"/>
        <v>36.361569483217899</v>
      </c>
      <c r="L902">
        <f t="shared" si="121"/>
        <v>-3.6159916677681481</v>
      </c>
    </row>
    <row r="903" spans="1:12" x14ac:dyDescent="0.25">
      <c r="A903" s="3">
        <v>42539</v>
      </c>
      <c r="B903" s="3" t="str">
        <f t="shared" si="114"/>
        <v>Jun</v>
      </c>
      <c r="C903" s="3" t="str">
        <f t="shared" si="115"/>
        <v>2016</v>
      </c>
      <c r="D903" s="3" t="str">
        <f t="shared" si="116"/>
        <v>Saturday</v>
      </c>
      <c r="E903">
        <v>308642.97720000002</v>
      </c>
      <c r="F903">
        <v>327672.04149999999</v>
      </c>
      <c r="G903">
        <v>9012</v>
      </c>
      <c r="H903" s="1">
        <f t="shared" si="117"/>
        <v>34.248000133155792</v>
      </c>
      <c r="I903" s="1" t="str">
        <f t="shared" si="118"/>
        <v>Low</v>
      </c>
      <c r="J903">
        <f t="shared" si="119"/>
        <v>-6.1653968195327424</v>
      </c>
      <c r="K903">
        <f t="shared" si="120"/>
        <v>36.359525244118949</v>
      </c>
      <c r="L903">
        <f t="shared" si="121"/>
        <v>-6.1653968195327442</v>
      </c>
    </row>
    <row r="904" spans="1:12" x14ac:dyDescent="0.25">
      <c r="A904" s="3">
        <v>42540</v>
      </c>
      <c r="B904" s="3" t="str">
        <f t="shared" si="114"/>
        <v>Jun</v>
      </c>
      <c r="C904" s="3" t="str">
        <f t="shared" si="115"/>
        <v>2016</v>
      </c>
      <c r="D904" s="3" t="str">
        <f t="shared" si="116"/>
        <v>Sunday</v>
      </c>
      <c r="E904">
        <v>134472.40659999999</v>
      </c>
      <c r="F904">
        <v>139385.8762</v>
      </c>
      <c r="G904">
        <v>3831</v>
      </c>
      <c r="H904" s="1">
        <f t="shared" si="117"/>
        <v>35.101124145131813</v>
      </c>
      <c r="I904" s="1" t="str">
        <f t="shared" si="118"/>
        <v>Low</v>
      </c>
      <c r="J904">
        <f t="shared" si="119"/>
        <v>-3.6538868636563921</v>
      </c>
      <c r="K904">
        <f t="shared" si="120"/>
        <v>36.383679509266507</v>
      </c>
      <c r="L904">
        <f t="shared" si="121"/>
        <v>-3.6538868636563948</v>
      </c>
    </row>
    <row r="905" spans="1:12" x14ac:dyDescent="0.25">
      <c r="A905" s="3">
        <v>42541</v>
      </c>
      <c r="B905" s="3" t="str">
        <f t="shared" si="114"/>
        <v>Jun</v>
      </c>
      <c r="C905" s="3" t="str">
        <f t="shared" si="115"/>
        <v>2016</v>
      </c>
      <c r="D905" s="3" t="str">
        <f t="shared" si="116"/>
        <v>Monday</v>
      </c>
      <c r="E905">
        <v>143809.7206</v>
      </c>
      <c r="F905">
        <v>148953.91089999999</v>
      </c>
      <c r="G905">
        <v>4097</v>
      </c>
      <c r="H905" s="1">
        <f t="shared" si="117"/>
        <v>35.10122543324384</v>
      </c>
      <c r="I905" s="1" t="str">
        <f t="shared" si="118"/>
        <v>Low</v>
      </c>
      <c r="J905">
        <f t="shared" si="119"/>
        <v>-3.5770810752830209</v>
      </c>
      <c r="K905">
        <f t="shared" si="120"/>
        <v>36.356824725408835</v>
      </c>
      <c r="L905">
        <f t="shared" si="121"/>
        <v>-3.5770810752830164</v>
      </c>
    </row>
    <row r="906" spans="1:12" x14ac:dyDescent="0.25">
      <c r="A906" s="3">
        <v>42542</v>
      </c>
      <c r="B906" s="3" t="str">
        <f t="shared" si="114"/>
        <v>Jun</v>
      </c>
      <c r="C906" s="3" t="str">
        <f t="shared" si="115"/>
        <v>2016</v>
      </c>
      <c r="D906" s="3" t="str">
        <f t="shared" si="116"/>
        <v>Tuesday</v>
      </c>
      <c r="E906">
        <v>123252.1511</v>
      </c>
      <c r="F906">
        <v>127533.00930000001</v>
      </c>
      <c r="G906">
        <v>3509</v>
      </c>
      <c r="H906" s="1">
        <f t="shared" si="117"/>
        <v>35.124579965802226</v>
      </c>
      <c r="I906" s="1" t="str">
        <f t="shared" si="118"/>
        <v>Low</v>
      </c>
      <c r="J906">
        <f t="shared" si="119"/>
        <v>-3.4732523220034914</v>
      </c>
      <c r="K906">
        <f t="shared" si="120"/>
        <v>36.344545255058421</v>
      </c>
      <c r="L906">
        <f t="shared" si="121"/>
        <v>-3.4732523220034786</v>
      </c>
    </row>
    <row r="907" spans="1:12" x14ac:dyDescent="0.25">
      <c r="A907" s="3">
        <v>42543</v>
      </c>
      <c r="B907" s="3" t="str">
        <f t="shared" si="114"/>
        <v>Jun</v>
      </c>
      <c r="C907" s="3" t="str">
        <f t="shared" si="115"/>
        <v>2016</v>
      </c>
      <c r="D907" s="3" t="str">
        <f t="shared" si="116"/>
        <v>Wednesday</v>
      </c>
      <c r="E907">
        <v>40067.151210000004</v>
      </c>
      <c r="F907">
        <v>34559.084519999997</v>
      </c>
      <c r="G907">
        <v>953</v>
      </c>
      <c r="H907" s="1">
        <f t="shared" si="117"/>
        <v>42.043180703043028</v>
      </c>
      <c r="I907" s="1" t="str">
        <f t="shared" si="118"/>
        <v>Medium</v>
      </c>
      <c r="J907">
        <f t="shared" si="119"/>
        <v>13.747088384525071</v>
      </c>
      <c r="K907">
        <f t="shared" si="120"/>
        <v>36.263467492130111</v>
      </c>
      <c r="L907">
        <f t="shared" si="121"/>
        <v>13.747088384525078</v>
      </c>
    </row>
    <row r="908" spans="1:12" x14ac:dyDescent="0.25">
      <c r="A908" s="3">
        <v>42544</v>
      </c>
      <c r="B908" s="3" t="str">
        <f t="shared" si="114"/>
        <v>Jun</v>
      </c>
      <c r="C908" s="3" t="str">
        <f t="shared" si="115"/>
        <v>2016</v>
      </c>
      <c r="D908" s="3" t="str">
        <f t="shared" si="116"/>
        <v>Thursday</v>
      </c>
      <c r="E908">
        <v>143752.73680000001</v>
      </c>
      <c r="F908">
        <v>155659.5337</v>
      </c>
      <c r="G908">
        <v>4305</v>
      </c>
      <c r="H908" s="1">
        <f t="shared" si="117"/>
        <v>33.392041068524975</v>
      </c>
      <c r="I908" s="1" t="str">
        <f t="shared" si="118"/>
        <v>Low</v>
      </c>
      <c r="J908">
        <f t="shared" si="119"/>
        <v>-8.2828314542391279</v>
      </c>
      <c r="K908">
        <f t="shared" si="120"/>
        <v>36.157847549361207</v>
      </c>
      <c r="L908">
        <f t="shared" si="121"/>
        <v>-8.2828314542391244</v>
      </c>
    </row>
    <row r="909" spans="1:12" x14ac:dyDescent="0.25">
      <c r="A909" s="3">
        <v>42545</v>
      </c>
      <c r="B909" s="3" t="str">
        <f t="shared" si="114"/>
        <v>Jun</v>
      </c>
      <c r="C909" s="3" t="str">
        <f t="shared" si="115"/>
        <v>2016</v>
      </c>
      <c r="D909" s="3" t="str">
        <f t="shared" si="116"/>
        <v>Friday</v>
      </c>
      <c r="E909">
        <v>389904.0086</v>
      </c>
      <c r="F909">
        <v>422372.58159999998</v>
      </c>
      <c r="G909">
        <v>11667</v>
      </c>
      <c r="H909" s="1">
        <f t="shared" si="117"/>
        <v>33.419388754607013</v>
      </c>
      <c r="I909" s="1" t="str">
        <f t="shared" si="118"/>
        <v>Low</v>
      </c>
      <c r="J909">
        <f t="shared" si="119"/>
        <v>-8.327324747591728</v>
      </c>
      <c r="K909">
        <f t="shared" si="120"/>
        <v>36.202329784863288</v>
      </c>
      <c r="L909">
        <f t="shared" si="121"/>
        <v>-8.3273247475917227</v>
      </c>
    </row>
    <row r="910" spans="1:12" x14ac:dyDescent="0.25">
      <c r="A910" s="3">
        <v>42546</v>
      </c>
      <c r="B910" s="3" t="str">
        <f t="shared" si="114"/>
        <v>Jun</v>
      </c>
      <c r="C910" s="3" t="str">
        <f t="shared" si="115"/>
        <v>2016</v>
      </c>
      <c r="D910" s="3" t="str">
        <f t="shared" si="116"/>
        <v>Saturday</v>
      </c>
      <c r="E910">
        <v>461280.7856</v>
      </c>
      <c r="F910">
        <v>498910.32900000003</v>
      </c>
      <c r="G910">
        <v>13793</v>
      </c>
      <c r="H910" s="1">
        <f t="shared" si="117"/>
        <v>33.443107779308342</v>
      </c>
      <c r="I910" s="1" t="str">
        <f t="shared" si="118"/>
        <v>Low</v>
      </c>
      <c r="J910">
        <f t="shared" si="119"/>
        <v>-8.1576221196931691</v>
      </c>
      <c r="K910">
        <f t="shared" si="120"/>
        <v>36.171270137026028</v>
      </c>
      <c r="L910">
        <f t="shared" si="121"/>
        <v>-8.1576221196931744</v>
      </c>
    </row>
    <row r="911" spans="1:12" x14ac:dyDescent="0.25">
      <c r="A911" s="3">
        <v>42547</v>
      </c>
      <c r="B911" s="3" t="str">
        <f t="shared" si="114"/>
        <v>Jun</v>
      </c>
      <c r="C911" s="3" t="str">
        <f t="shared" si="115"/>
        <v>2016</v>
      </c>
      <c r="D911" s="3" t="str">
        <f t="shared" si="116"/>
        <v>Sunday</v>
      </c>
      <c r="E911">
        <v>221578.69680000001</v>
      </c>
      <c r="F911">
        <v>240449.62229999999</v>
      </c>
      <c r="G911">
        <v>6641</v>
      </c>
      <c r="H911" s="1">
        <f t="shared" si="117"/>
        <v>33.36526077397982</v>
      </c>
      <c r="I911" s="1" t="str">
        <f t="shared" si="118"/>
        <v>Low</v>
      </c>
      <c r="J911">
        <f t="shared" si="119"/>
        <v>-8.5165793339028166</v>
      </c>
      <c r="K911">
        <f t="shared" si="120"/>
        <v>36.206839677759369</v>
      </c>
      <c r="L911">
        <f t="shared" si="121"/>
        <v>-8.5165793339028202</v>
      </c>
    </row>
    <row r="912" spans="1:12" x14ac:dyDescent="0.25">
      <c r="A912" s="3">
        <v>42548</v>
      </c>
      <c r="B912" s="3" t="str">
        <f t="shared" si="114"/>
        <v>Jun</v>
      </c>
      <c r="C912" s="3" t="str">
        <f t="shared" si="115"/>
        <v>2016</v>
      </c>
      <c r="D912" s="3" t="str">
        <f t="shared" si="116"/>
        <v>Monday</v>
      </c>
      <c r="E912">
        <v>253702.223</v>
      </c>
      <c r="F912">
        <v>274426.08029999997</v>
      </c>
      <c r="G912">
        <v>7593</v>
      </c>
      <c r="H912" s="1">
        <f t="shared" si="117"/>
        <v>33.412646253127882</v>
      </c>
      <c r="I912" s="1" t="str">
        <f t="shared" si="118"/>
        <v>Low</v>
      </c>
      <c r="J912">
        <f t="shared" si="119"/>
        <v>-8.1685753695583401</v>
      </c>
      <c r="K912">
        <f t="shared" si="120"/>
        <v>36.141983445278541</v>
      </c>
      <c r="L912">
        <f t="shared" si="121"/>
        <v>-8.168575369558333</v>
      </c>
    </row>
    <row r="913" spans="1:12" x14ac:dyDescent="0.25">
      <c r="A913" s="3">
        <v>42549</v>
      </c>
      <c r="B913" s="3" t="str">
        <f t="shared" si="114"/>
        <v>Jun</v>
      </c>
      <c r="C913" s="3" t="str">
        <f t="shared" si="115"/>
        <v>2016</v>
      </c>
      <c r="D913" s="3" t="str">
        <f t="shared" si="116"/>
        <v>Tuesday</v>
      </c>
      <c r="E913">
        <v>200616.07620000001</v>
      </c>
      <c r="F913">
        <v>217104.5797</v>
      </c>
      <c r="G913">
        <v>6007</v>
      </c>
      <c r="H913" s="1">
        <f t="shared" si="117"/>
        <v>33.397049475611787</v>
      </c>
      <c r="I913" s="1" t="str">
        <f t="shared" si="118"/>
        <v>Low</v>
      </c>
      <c r="J913">
        <f t="shared" si="119"/>
        <v>-8.218934300939134</v>
      </c>
      <c r="K913">
        <f t="shared" si="120"/>
        <v>36.141931030464455</v>
      </c>
      <c r="L913">
        <f t="shared" si="121"/>
        <v>-8.2189343009391269</v>
      </c>
    </row>
    <row r="914" spans="1:12" x14ac:dyDescent="0.25">
      <c r="A914" s="3">
        <v>42550</v>
      </c>
      <c r="B914" s="3" t="str">
        <f t="shared" si="114"/>
        <v>Jun</v>
      </c>
      <c r="C914" s="3" t="str">
        <f t="shared" si="115"/>
        <v>2016</v>
      </c>
      <c r="D914" s="3" t="str">
        <f t="shared" si="116"/>
        <v>Wednesday</v>
      </c>
      <c r="E914">
        <v>211700.8132</v>
      </c>
      <c r="F914">
        <v>229023.8107</v>
      </c>
      <c r="G914">
        <v>6345</v>
      </c>
      <c r="H914" s="1">
        <f t="shared" si="117"/>
        <v>33.364982379826635</v>
      </c>
      <c r="I914" s="1" t="str">
        <f t="shared" si="118"/>
        <v>Low</v>
      </c>
      <c r="J914">
        <f t="shared" si="119"/>
        <v>-8.1827732440661194</v>
      </c>
      <c r="K914">
        <f t="shared" si="120"/>
        <v>36.095163230890464</v>
      </c>
      <c r="L914">
        <f t="shared" si="121"/>
        <v>-8.1827732440661158</v>
      </c>
    </row>
    <row r="915" spans="1:12" x14ac:dyDescent="0.25">
      <c r="A915" s="3">
        <v>42551</v>
      </c>
      <c r="B915" s="3" t="str">
        <f t="shared" si="114"/>
        <v>Jun</v>
      </c>
      <c r="C915" s="3" t="str">
        <f t="shared" si="115"/>
        <v>2016</v>
      </c>
      <c r="D915" s="3" t="str">
        <f t="shared" si="116"/>
        <v>Thursday</v>
      </c>
      <c r="E915">
        <v>282757.71139999997</v>
      </c>
      <c r="F915">
        <v>305894.1801</v>
      </c>
      <c r="G915">
        <v>8482</v>
      </c>
      <c r="H915" s="1">
        <f t="shared" si="117"/>
        <v>33.336207427493513</v>
      </c>
      <c r="I915" s="1" t="str">
        <f t="shared" si="118"/>
        <v>Low</v>
      </c>
      <c r="J915">
        <f t="shared" si="119"/>
        <v>-8.1824359751130835</v>
      </c>
      <c r="K915">
        <f t="shared" si="120"/>
        <v>36.063921256779061</v>
      </c>
      <c r="L915">
        <f t="shared" si="121"/>
        <v>-8.1824359751130817</v>
      </c>
    </row>
    <row r="916" spans="1:12" x14ac:dyDescent="0.25">
      <c r="A916" s="3">
        <v>42552</v>
      </c>
      <c r="B916" s="3" t="str">
        <f t="shared" si="114"/>
        <v>Jul</v>
      </c>
      <c r="C916" s="3" t="str">
        <f t="shared" si="115"/>
        <v>2016</v>
      </c>
      <c r="D916" s="3" t="str">
        <f t="shared" si="116"/>
        <v>Friday</v>
      </c>
      <c r="E916">
        <v>479010.15669999999</v>
      </c>
      <c r="F916">
        <v>517742.19260000001</v>
      </c>
      <c r="G916">
        <v>14344</v>
      </c>
      <c r="H916" s="1">
        <f t="shared" si="117"/>
        <v>33.39446156581149</v>
      </c>
      <c r="I916" s="1" t="str">
        <f t="shared" si="118"/>
        <v>Low</v>
      </c>
      <c r="J916">
        <f t="shared" si="119"/>
        <v>-8.0858485688138675</v>
      </c>
      <c r="K916">
        <f t="shared" si="120"/>
        <v>36.094687158393754</v>
      </c>
      <c r="L916">
        <f t="shared" si="121"/>
        <v>-8.0858485688138622</v>
      </c>
    </row>
    <row r="917" spans="1:12" x14ac:dyDescent="0.25">
      <c r="A917" s="3">
        <v>42553</v>
      </c>
      <c r="B917" s="3" t="str">
        <f t="shared" si="114"/>
        <v>Jul</v>
      </c>
      <c r="C917" s="3" t="str">
        <f t="shared" si="115"/>
        <v>2016</v>
      </c>
      <c r="D917" s="3" t="str">
        <f t="shared" si="116"/>
        <v>Saturday</v>
      </c>
      <c r="E917">
        <v>454543.28580000001</v>
      </c>
      <c r="F917">
        <v>490487.0246</v>
      </c>
      <c r="G917">
        <v>13609</v>
      </c>
      <c r="H917" s="1">
        <f t="shared" si="117"/>
        <v>33.400197354691748</v>
      </c>
      <c r="I917" s="1" t="str">
        <f t="shared" si="118"/>
        <v>Low</v>
      </c>
      <c r="J917">
        <f t="shared" si="119"/>
        <v>-7.9076602653449619</v>
      </c>
      <c r="K917">
        <f t="shared" si="120"/>
        <v>36.041371489455507</v>
      </c>
      <c r="L917">
        <f t="shared" si="121"/>
        <v>-7.9076602653449619</v>
      </c>
    </row>
    <row r="918" spans="1:12" x14ac:dyDescent="0.25">
      <c r="A918" s="3">
        <v>42554</v>
      </c>
      <c r="B918" s="3" t="str">
        <f t="shared" si="114"/>
        <v>Jul</v>
      </c>
      <c r="C918" s="3" t="str">
        <f t="shared" si="115"/>
        <v>2016</v>
      </c>
      <c r="D918" s="3" t="str">
        <f t="shared" si="116"/>
        <v>Sunday</v>
      </c>
      <c r="E918">
        <v>242185.1807</v>
      </c>
      <c r="F918">
        <v>261534.91200000001</v>
      </c>
      <c r="G918">
        <v>7259</v>
      </c>
      <c r="H918" s="1">
        <f t="shared" si="117"/>
        <v>33.363435831381736</v>
      </c>
      <c r="I918" s="1" t="str">
        <f t="shared" si="118"/>
        <v>Low</v>
      </c>
      <c r="J918">
        <f t="shared" si="119"/>
        <v>-7.9896429847906107</v>
      </c>
      <c r="K918">
        <f t="shared" si="120"/>
        <v>36.029055241768837</v>
      </c>
      <c r="L918">
        <f t="shared" si="121"/>
        <v>-7.9896429847905921</v>
      </c>
    </row>
    <row r="919" spans="1:12" x14ac:dyDescent="0.25">
      <c r="A919" s="3">
        <v>42555</v>
      </c>
      <c r="B919" s="3" t="str">
        <f t="shared" si="114"/>
        <v>Jul</v>
      </c>
      <c r="C919" s="3" t="str">
        <f t="shared" si="115"/>
        <v>2016</v>
      </c>
      <c r="D919" s="3" t="str">
        <f t="shared" si="116"/>
        <v>Monday</v>
      </c>
      <c r="E919">
        <v>281531.68560000003</v>
      </c>
      <c r="F919">
        <v>304052.47700000001</v>
      </c>
      <c r="G919">
        <v>8431</v>
      </c>
      <c r="H919" s="1">
        <f t="shared" si="117"/>
        <v>33.392442841893015</v>
      </c>
      <c r="I919" s="1" t="str">
        <f t="shared" si="118"/>
        <v>Low</v>
      </c>
      <c r="J919">
        <f t="shared" si="119"/>
        <v>-7.9993807276092923</v>
      </c>
      <c r="K919">
        <f t="shared" si="120"/>
        <v>36.063631479065357</v>
      </c>
      <c r="L919">
        <f t="shared" si="121"/>
        <v>-7.9993807276093039</v>
      </c>
    </row>
    <row r="920" spans="1:12" x14ac:dyDescent="0.25">
      <c r="A920" s="3">
        <v>42556</v>
      </c>
      <c r="B920" s="3" t="str">
        <f t="shared" si="114"/>
        <v>Jul</v>
      </c>
      <c r="C920" s="3" t="str">
        <f t="shared" si="115"/>
        <v>2016</v>
      </c>
      <c r="D920" s="3" t="str">
        <f t="shared" si="116"/>
        <v>Tuesday</v>
      </c>
      <c r="E920">
        <v>219363.22010000001</v>
      </c>
      <c r="F920">
        <v>237026.3505</v>
      </c>
      <c r="G920">
        <v>6577</v>
      </c>
      <c r="H920" s="1">
        <f t="shared" si="117"/>
        <v>33.353081967462373</v>
      </c>
      <c r="I920" s="1" t="str">
        <f t="shared" si="118"/>
        <v>Low</v>
      </c>
      <c r="J920">
        <f t="shared" si="119"/>
        <v>-8.0520017858727595</v>
      </c>
      <c r="K920">
        <f t="shared" si="120"/>
        <v>36.038672723126048</v>
      </c>
      <c r="L920">
        <f t="shared" si="121"/>
        <v>-8.0520017858727577</v>
      </c>
    </row>
    <row r="921" spans="1:12" x14ac:dyDescent="0.25">
      <c r="A921" s="3">
        <v>42557</v>
      </c>
      <c r="B921" s="3" t="str">
        <f t="shared" si="114"/>
        <v>Jul</v>
      </c>
      <c r="C921" s="3" t="str">
        <f t="shared" si="115"/>
        <v>2016</v>
      </c>
      <c r="D921" s="3" t="str">
        <f t="shared" si="116"/>
        <v>Wednesday</v>
      </c>
      <c r="E921">
        <v>204005.5822</v>
      </c>
      <c r="F921">
        <v>219722.89499999999</v>
      </c>
      <c r="G921">
        <v>6098</v>
      </c>
      <c r="H921" s="1">
        <f t="shared" si="117"/>
        <v>33.454506756313549</v>
      </c>
      <c r="I921" s="1" t="str">
        <f t="shared" si="118"/>
        <v>Low</v>
      </c>
      <c r="J921">
        <f t="shared" si="119"/>
        <v>-7.7043542782036605</v>
      </c>
      <c r="K921">
        <f t="shared" si="120"/>
        <v>36.031960478845519</v>
      </c>
      <c r="L921">
        <f t="shared" si="121"/>
        <v>-7.7043542782036454</v>
      </c>
    </row>
    <row r="922" spans="1:12" x14ac:dyDescent="0.25">
      <c r="A922" s="3">
        <v>42558</v>
      </c>
      <c r="B922" s="3" t="str">
        <f t="shared" si="114"/>
        <v>Jul</v>
      </c>
      <c r="C922" s="3" t="str">
        <f t="shared" si="115"/>
        <v>2016</v>
      </c>
      <c r="D922" s="3" t="str">
        <f t="shared" si="116"/>
        <v>Thursday</v>
      </c>
      <c r="E922">
        <v>69579.068459999995</v>
      </c>
      <c r="F922">
        <v>59598.917800000003</v>
      </c>
      <c r="G922">
        <v>1654</v>
      </c>
      <c r="H922" s="1">
        <f t="shared" si="117"/>
        <v>42.067151426844013</v>
      </c>
      <c r="I922" s="1" t="str">
        <f t="shared" si="118"/>
        <v>Medium</v>
      </c>
      <c r="J922">
        <f t="shared" si="119"/>
        <v>14.343610630167372</v>
      </c>
      <c r="K922">
        <f t="shared" si="120"/>
        <v>36.033203022974611</v>
      </c>
      <c r="L922">
        <f t="shared" si="121"/>
        <v>14.343610630167369</v>
      </c>
    </row>
    <row r="923" spans="1:12" x14ac:dyDescent="0.25">
      <c r="A923" s="3">
        <v>42559</v>
      </c>
      <c r="B923" s="3" t="str">
        <f t="shared" si="114"/>
        <v>Jul</v>
      </c>
      <c r="C923" s="3" t="str">
        <f t="shared" si="115"/>
        <v>2016</v>
      </c>
      <c r="D923" s="3" t="str">
        <f t="shared" si="116"/>
        <v>Friday</v>
      </c>
      <c r="E923">
        <v>87184.740030000001</v>
      </c>
      <c r="F923">
        <v>74654.520420000001</v>
      </c>
      <c r="G923">
        <v>2073</v>
      </c>
      <c r="H923" s="1">
        <f t="shared" si="117"/>
        <v>42.057279319826335</v>
      </c>
      <c r="I923" s="1" t="str">
        <f t="shared" si="118"/>
        <v>Medium</v>
      </c>
      <c r="J923">
        <f t="shared" si="119"/>
        <v>14.372033002207028</v>
      </c>
      <c r="K923">
        <f t="shared" si="120"/>
        <v>36.012793256150509</v>
      </c>
      <c r="L923">
        <f t="shared" si="121"/>
        <v>14.372033002207013</v>
      </c>
    </row>
    <row r="924" spans="1:12" x14ac:dyDescent="0.25">
      <c r="A924" s="3">
        <v>42560</v>
      </c>
      <c r="B924" s="3" t="str">
        <f t="shared" si="114"/>
        <v>Jul</v>
      </c>
      <c r="C924" s="3" t="str">
        <f t="shared" si="115"/>
        <v>2016</v>
      </c>
      <c r="D924" s="3" t="str">
        <f t="shared" si="116"/>
        <v>Saturday</v>
      </c>
      <c r="E924">
        <v>78700.436050000004</v>
      </c>
      <c r="F924">
        <v>67367.383239999996</v>
      </c>
      <c r="G924">
        <v>1871</v>
      </c>
      <c r="H924" s="1">
        <f t="shared" si="117"/>
        <v>42.063300935328705</v>
      </c>
      <c r="I924" s="1" t="str">
        <f t="shared" si="118"/>
        <v>Medium</v>
      </c>
      <c r="J924">
        <f t="shared" si="119"/>
        <v>14.400241445676217</v>
      </c>
      <c r="K924">
        <f t="shared" si="120"/>
        <v>36.006084040619989</v>
      </c>
      <c r="L924">
        <f t="shared" si="121"/>
        <v>14.400241445676217</v>
      </c>
    </row>
    <row r="925" spans="1:12" x14ac:dyDescent="0.25">
      <c r="A925" s="3">
        <v>42561</v>
      </c>
      <c r="B925" s="3" t="str">
        <f t="shared" si="114"/>
        <v>Jul</v>
      </c>
      <c r="C925" s="3" t="str">
        <f t="shared" si="115"/>
        <v>2016</v>
      </c>
      <c r="D925" s="3" t="str">
        <f t="shared" si="116"/>
        <v>Sunday</v>
      </c>
      <c r="E925">
        <v>39809.559090000002</v>
      </c>
      <c r="F925">
        <v>34091.569660000001</v>
      </c>
      <c r="G925">
        <v>946</v>
      </c>
      <c r="H925" s="1">
        <f t="shared" si="117"/>
        <v>42.081986353065538</v>
      </c>
      <c r="I925" s="1" t="str">
        <f t="shared" si="118"/>
        <v>High</v>
      </c>
      <c r="J925">
        <f t="shared" si="119"/>
        <v>14.363357848483021</v>
      </c>
      <c r="K925">
        <f t="shared" si="120"/>
        <v>36.037600063424946</v>
      </c>
      <c r="L925">
        <f t="shared" si="121"/>
        <v>14.36335784848302</v>
      </c>
    </row>
    <row r="926" spans="1:12" x14ac:dyDescent="0.25">
      <c r="A926" s="3">
        <v>42562</v>
      </c>
      <c r="B926" s="3" t="str">
        <f t="shared" si="114"/>
        <v>Jul</v>
      </c>
      <c r="C926" s="3" t="str">
        <f t="shared" si="115"/>
        <v>2016</v>
      </c>
      <c r="D926" s="3" t="str">
        <f t="shared" si="116"/>
        <v>Monday</v>
      </c>
      <c r="E926">
        <v>45839.238770000004</v>
      </c>
      <c r="F926">
        <v>39231.195370000001</v>
      </c>
      <c r="G926">
        <v>1090</v>
      </c>
      <c r="H926" s="1">
        <f t="shared" si="117"/>
        <v>42.054347495412848</v>
      </c>
      <c r="I926" s="1" t="str">
        <f t="shared" si="118"/>
        <v>Medium</v>
      </c>
      <c r="J926">
        <f t="shared" si="119"/>
        <v>14.415691833706257</v>
      </c>
      <c r="K926">
        <f t="shared" si="120"/>
        <v>35.991922357798167</v>
      </c>
      <c r="L926">
        <f t="shared" si="121"/>
        <v>14.415691833706257</v>
      </c>
    </row>
    <row r="927" spans="1:12" x14ac:dyDescent="0.25">
      <c r="A927" s="3">
        <v>42563</v>
      </c>
      <c r="B927" s="3" t="str">
        <f t="shared" si="114"/>
        <v>Jul</v>
      </c>
      <c r="C927" s="3" t="str">
        <f t="shared" si="115"/>
        <v>2016</v>
      </c>
      <c r="D927" s="3" t="str">
        <f t="shared" si="116"/>
        <v>Tuesday</v>
      </c>
      <c r="E927">
        <v>36851.763749999998</v>
      </c>
      <c r="F927">
        <v>31574.32547</v>
      </c>
      <c r="G927">
        <v>876</v>
      </c>
      <c r="H927" s="1">
        <f t="shared" si="117"/>
        <v>42.068223458904107</v>
      </c>
      <c r="I927" s="1" t="str">
        <f t="shared" si="118"/>
        <v>Medium</v>
      </c>
      <c r="J927">
        <f t="shared" si="119"/>
        <v>14.320721026547877</v>
      </c>
      <c r="K927">
        <f t="shared" si="120"/>
        <v>36.043750536529679</v>
      </c>
      <c r="L927">
        <f t="shared" si="121"/>
        <v>14.320721026547881</v>
      </c>
    </row>
    <row r="928" spans="1:12" x14ac:dyDescent="0.25">
      <c r="A928" s="3">
        <v>42564</v>
      </c>
      <c r="B928" s="3" t="str">
        <f t="shared" si="114"/>
        <v>Jul</v>
      </c>
      <c r="C928" s="3" t="str">
        <f t="shared" si="115"/>
        <v>2016</v>
      </c>
      <c r="D928" s="3" t="str">
        <f t="shared" si="116"/>
        <v>Wednesday</v>
      </c>
      <c r="E928">
        <v>33225.670469999997</v>
      </c>
      <c r="F928">
        <v>28489.081399999999</v>
      </c>
      <c r="G928">
        <v>790</v>
      </c>
      <c r="H928" s="1">
        <f t="shared" si="117"/>
        <v>42.057810721518983</v>
      </c>
      <c r="I928" s="1" t="str">
        <f t="shared" si="118"/>
        <v>Medium</v>
      </c>
      <c r="J928">
        <f t="shared" si="119"/>
        <v>14.255811855705794</v>
      </c>
      <c r="K928">
        <f t="shared" si="120"/>
        <v>36.062128354430378</v>
      </c>
      <c r="L928">
        <f t="shared" si="121"/>
        <v>14.255811855705794</v>
      </c>
    </row>
    <row r="929" spans="1:12" x14ac:dyDescent="0.25">
      <c r="A929" s="3">
        <v>42565</v>
      </c>
      <c r="B929" s="3" t="str">
        <f t="shared" si="114"/>
        <v>Jul</v>
      </c>
      <c r="C929" s="3" t="str">
        <f t="shared" si="115"/>
        <v>2016</v>
      </c>
      <c r="D929" s="3" t="str">
        <f t="shared" si="116"/>
        <v>Thursday</v>
      </c>
      <c r="E929">
        <v>30423.391459999999</v>
      </c>
      <c r="F929">
        <v>26053.796719999998</v>
      </c>
      <c r="G929">
        <v>723</v>
      </c>
      <c r="H929" s="1">
        <f t="shared" si="117"/>
        <v>42.079379612724757</v>
      </c>
      <c r="I929" s="1" t="str">
        <f t="shared" si="118"/>
        <v>High</v>
      </c>
      <c r="J929">
        <f t="shared" si="119"/>
        <v>14.362615508350038</v>
      </c>
      <c r="K929">
        <f t="shared" si="120"/>
        <v>36.03568011065007</v>
      </c>
      <c r="L929">
        <f t="shared" si="121"/>
        <v>14.362615508350032</v>
      </c>
    </row>
    <row r="930" spans="1:12" x14ac:dyDescent="0.25">
      <c r="A930" s="3">
        <v>42566</v>
      </c>
      <c r="B930" s="3" t="str">
        <f t="shared" si="114"/>
        <v>Jul</v>
      </c>
      <c r="C930" s="3" t="str">
        <f t="shared" si="115"/>
        <v>2016</v>
      </c>
      <c r="D930" s="3" t="str">
        <f t="shared" si="116"/>
        <v>Friday</v>
      </c>
      <c r="E930">
        <v>80345.637659999993</v>
      </c>
      <c r="F930">
        <v>68788.094540000006</v>
      </c>
      <c r="G930">
        <v>1910</v>
      </c>
      <c r="H930" s="1">
        <f t="shared" si="117"/>
        <v>42.065778879581146</v>
      </c>
      <c r="I930" s="1" t="str">
        <f t="shared" si="118"/>
        <v>Medium</v>
      </c>
      <c r="J930">
        <f t="shared" si="119"/>
        <v>14.384779879286341</v>
      </c>
      <c r="K930">
        <f t="shared" si="120"/>
        <v>36.014709183246076</v>
      </c>
      <c r="L930">
        <f t="shared" si="121"/>
        <v>14.384779879286336</v>
      </c>
    </row>
    <row r="931" spans="1:12" x14ac:dyDescent="0.25">
      <c r="A931" s="3">
        <v>42567</v>
      </c>
      <c r="B931" s="3" t="str">
        <f t="shared" si="114"/>
        <v>Jul</v>
      </c>
      <c r="C931" s="3" t="str">
        <f t="shared" si="115"/>
        <v>2016</v>
      </c>
      <c r="D931" s="3" t="str">
        <f t="shared" si="116"/>
        <v>Saturday</v>
      </c>
      <c r="E931">
        <v>95297.338629999998</v>
      </c>
      <c r="F931">
        <v>81655.857730000003</v>
      </c>
      <c r="G931">
        <v>2266</v>
      </c>
      <c r="H931" s="1">
        <f t="shared" si="117"/>
        <v>42.055312722859661</v>
      </c>
      <c r="I931" s="1" t="str">
        <f t="shared" si="118"/>
        <v>Medium</v>
      </c>
      <c r="J931">
        <f t="shared" si="119"/>
        <v>14.314650436319321</v>
      </c>
      <c r="K931">
        <f t="shared" si="120"/>
        <v>36.035241716681377</v>
      </c>
      <c r="L931">
        <f t="shared" si="121"/>
        <v>14.314650436319317</v>
      </c>
    </row>
    <row r="932" spans="1:12" x14ac:dyDescent="0.25">
      <c r="A932" s="3">
        <v>42568</v>
      </c>
      <c r="B932" s="3" t="str">
        <f t="shared" si="114"/>
        <v>Jul</v>
      </c>
      <c r="C932" s="3" t="str">
        <f t="shared" si="115"/>
        <v>2016</v>
      </c>
      <c r="D932" s="3" t="str">
        <f t="shared" si="116"/>
        <v>Sunday</v>
      </c>
      <c r="E932">
        <v>45324.054530000001</v>
      </c>
      <c r="F932">
        <v>38809.808900000004</v>
      </c>
      <c r="G932">
        <v>1078</v>
      </c>
      <c r="H932" s="1">
        <f t="shared" si="117"/>
        <v>42.044577486085345</v>
      </c>
      <c r="I932" s="1" t="str">
        <f t="shared" si="118"/>
        <v>Medium</v>
      </c>
      <c r="J932">
        <f t="shared" si="119"/>
        <v>14.372601254568293</v>
      </c>
      <c r="K932">
        <f t="shared" si="120"/>
        <v>36.001678014842305</v>
      </c>
      <c r="L932">
        <f t="shared" si="121"/>
        <v>14.37260125456829</v>
      </c>
    </row>
    <row r="933" spans="1:12" x14ac:dyDescent="0.25">
      <c r="A933" s="3">
        <v>42569</v>
      </c>
      <c r="B933" s="3" t="str">
        <f t="shared" si="114"/>
        <v>Jul</v>
      </c>
      <c r="C933" s="3" t="str">
        <f t="shared" si="115"/>
        <v>2016</v>
      </c>
      <c r="D933" s="3" t="str">
        <f t="shared" si="116"/>
        <v>Monday</v>
      </c>
      <c r="E933">
        <v>51604.118410000003</v>
      </c>
      <c r="F933">
        <v>44222.784480000002</v>
      </c>
      <c r="G933">
        <v>1227</v>
      </c>
      <c r="H933" s="1">
        <f t="shared" si="117"/>
        <v>42.057146218418907</v>
      </c>
      <c r="I933" s="1" t="str">
        <f t="shared" si="118"/>
        <v>Medium</v>
      </c>
      <c r="J933">
        <f t="shared" si="119"/>
        <v>14.303769073922643</v>
      </c>
      <c r="K933">
        <f t="shared" si="120"/>
        <v>36.041389144254282</v>
      </c>
      <c r="L933">
        <f t="shared" si="121"/>
        <v>14.303769073922631</v>
      </c>
    </row>
    <row r="934" spans="1:12" x14ac:dyDescent="0.25">
      <c r="A934" s="3">
        <v>42570</v>
      </c>
      <c r="B934" s="3" t="str">
        <f t="shared" si="114"/>
        <v>Jul</v>
      </c>
      <c r="C934" s="3" t="str">
        <f t="shared" si="115"/>
        <v>2016</v>
      </c>
      <c r="D934" s="3" t="str">
        <f t="shared" si="116"/>
        <v>Tuesday</v>
      </c>
      <c r="E934">
        <v>37870.119030000002</v>
      </c>
      <c r="F934">
        <v>32436.795969999999</v>
      </c>
      <c r="G934">
        <v>900</v>
      </c>
      <c r="H934" s="1">
        <f t="shared" si="117"/>
        <v>42.077910033333332</v>
      </c>
      <c r="I934" s="1" t="str">
        <f t="shared" si="118"/>
        <v>High</v>
      </c>
      <c r="J934">
        <f t="shared" si="119"/>
        <v>14.34725635717127</v>
      </c>
      <c r="K934">
        <f t="shared" si="120"/>
        <v>36.040884411111108</v>
      </c>
      <c r="L934">
        <f t="shared" si="121"/>
        <v>14.34725635717127</v>
      </c>
    </row>
    <row r="935" spans="1:12" x14ac:dyDescent="0.25">
      <c r="A935" s="3">
        <v>42571</v>
      </c>
      <c r="B935" s="3" t="str">
        <f t="shared" si="114"/>
        <v>Jul</v>
      </c>
      <c r="C935" s="3" t="str">
        <f t="shared" si="115"/>
        <v>2016</v>
      </c>
      <c r="D935" s="3" t="str">
        <f t="shared" si="116"/>
        <v>Wednesday</v>
      </c>
      <c r="E935">
        <v>42723.524460000001</v>
      </c>
      <c r="F935">
        <v>36607.390659999997</v>
      </c>
      <c r="G935">
        <v>1016</v>
      </c>
      <c r="H935" s="1">
        <f t="shared" si="117"/>
        <v>42.050713051181106</v>
      </c>
      <c r="I935" s="1" t="str">
        <f t="shared" si="118"/>
        <v>Medium</v>
      </c>
      <c r="J935">
        <f t="shared" si="119"/>
        <v>14.315611544937608</v>
      </c>
      <c r="K935">
        <f t="shared" si="120"/>
        <v>36.030896318897632</v>
      </c>
      <c r="L935">
        <f t="shared" si="121"/>
        <v>14.315611544937621</v>
      </c>
    </row>
    <row r="936" spans="1:12" x14ac:dyDescent="0.25">
      <c r="A936" s="3">
        <v>42572</v>
      </c>
      <c r="B936" s="3" t="str">
        <f t="shared" si="114"/>
        <v>Jul</v>
      </c>
      <c r="C936" s="3" t="str">
        <f t="shared" si="115"/>
        <v>2016</v>
      </c>
      <c r="D936" s="3" t="str">
        <f t="shared" si="116"/>
        <v>Thursday</v>
      </c>
      <c r="E936">
        <v>35169.915809999999</v>
      </c>
      <c r="F936">
        <v>30133.318640000001</v>
      </c>
      <c r="G936">
        <v>836</v>
      </c>
      <c r="H936" s="1">
        <f t="shared" si="117"/>
        <v>42.069277284688994</v>
      </c>
      <c r="I936" s="1" t="str">
        <f t="shared" si="118"/>
        <v>Medium</v>
      </c>
      <c r="J936">
        <f t="shared" si="119"/>
        <v>14.320754127503262</v>
      </c>
      <c r="K936">
        <f t="shared" si="120"/>
        <v>36.044639521531103</v>
      </c>
      <c r="L936">
        <f t="shared" si="121"/>
        <v>14.32075412750326</v>
      </c>
    </row>
    <row r="937" spans="1:12" x14ac:dyDescent="0.25">
      <c r="A937" s="3">
        <v>42573</v>
      </c>
      <c r="B937" s="3" t="str">
        <f t="shared" si="114"/>
        <v>Jul</v>
      </c>
      <c r="C937" s="3" t="str">
        <f t="shared" si="115"/>
        <v>2016</v>
      </c>
      <c r="D937" s="3" t="str">
        <f t="shared" si="116"/>
        <v>Friday</v>
      </c>
      <c r="E937">
        <v>61148.205009999998</v>
      </c>
      <c r="F937">
        <v>52384.447480000003</v>
      </c>
      <c r="G937">
        <v>1454</v>
      </c>
      <c r="H937" s="1">
        <f t="shared" si="117"/>
        <v>42.055161629986245</v>
      </c>
      <c r="I937" s="1" t="str">
        <f t="shared" si="118"/>
        <v>Medium</v>
      </c>
      <c r="J937">
        <f t="shared" si="119"/>
        <v>14.331994747134107</v>
      </c>
      <c r="K937">
        <f t="shared" si="120"/>
        <v>36.027818074277853</v>
      </c>
      <c r="L937">
        <f t="shared" si="121"/>
        <v>14.331994747134116</v>
      </c>
    </row>
    <row r="938" spans="1:12" x14ac:dyDescent="0.25">
      <c r="A938" s="3">
        <v>42574</v>
      </c>
      <c r="B938" s="3" t="str">
        <f t="shared" si="114"/>
        <v>Jul</v>
      </c>
      <c r="C938" s="3" t="str">
        <f t="shared" si="115"/>
        <v>2016</v>
      </c>
      <c r="D938" s="3" t="str">
        <f t="shared" si="116"/>
        <v>Saturday</v>
      </c>
      <c r="E938">
        <v>77171.701799999995</v>
      </c>
      <c r="F938">
        <v>66113.832039999994</v>
      </c>
      <c r="G938">
        <v>1835</v>
      </c>
      <c r="H938" s="1">
        <f t="shared" si="117"/>
        <v>42.055423324250675</v>
      </c>
      <c r="I938" s="1" t="str">
        <f t="shared" si="118"/>
        <v>Medium</v>
      </c>
      <c r="J938">
        <f t="shared" si="119"/>
        <v>14.328917857296755</v>
      </c>
      <c r="K938">
        <f t="shared" si="120"/>
        <v>36.029336261580376</v>
      </c>
      <c r="L938">
        <f t="shared" si="121"/>
        <v>14.328917857296755</v>
      </c>
    </row>
    <row r="939" spans="1:12" x14ac:dyDescent="0.25">
      <c r="A939" s="3">
        <v>42575</v>
      </c>
      <c r="B939" s="3" t="str">
        <f t="shared" si="114"/>
        <v>Jul</v>
      </c>
      <c r="C939" s="3" t="str">
        <f t="shared" si="115"/>
        <v>2016</v>
      </c>
      <c r="D939" s="3" t="str">
        <f t="shared" si="116"/>
        <v>Sunday</v>
      </c>
      <c r="E939">
        <v>40881.354910000002</v>
      </c>
      <c r="F939">
        <v>35019.112639999999</v>
      </c>
      <c r="G939">
        <v>972</v>
      </c>
      <c r="H939" s="1">
        <f t="shared" si="117"/>
        <v>42.059007109053503</v>
      </c>
      <c r="I939" s="1" t="str">
        <f t="shared" si="118"/>
        <v>Medium</v>
      </c>
      <c r="J939">
        <f t="shared" si="119"/>
        <v>14.339647702248826</v>
      </c>
      <c r="K939">
        <f t="shared" si="120"/>
        <v>36.027893662551442</v>
      </c>
      <c r="L939">
        <f t="shared" si="121"/>
        <v>14.339647702248829</v>
      </c>
    </row>
    <row r="940" spans="1:12" x14ac:dyDescent="0.25">
      <c r="A940" s="3">
        <v>42576</v>
      </c>
      <c r="B940" s="3" t="str">
        <f t="shared" si="114"/>
        <v>Jul</v>
      </c>
      <c r="C940" s="3" t="str">
        <f t="shared" si="115"/>
        <v>2016</v>
      </c>
      <c r="D940" s="3" t="str">
        <f t="shared" si="116"/>
        <v>Monday</v>
      </c>
      <c r="E940">
        <v>43085.595009999997</v>
      </c>
      <c r="F940">
        <v>36887.366170000001</v>
      </c>
      <c r="G940">
        <v>1024</v>
      </c>
      <c r="H940" s="1">
        <f t="shared" si="117"/>
        <v>42.075776376953122</v>
      </c>
      <c r="I940" s="1" t="str">
        <f t="shared" si="118"/>
        <v>High</v>
      </c>
      <c r="J940">
        <f t="shared" si="119"/>
        <v>14.385849466768214</v>
      </c>
      <c r="K940">
        <f t="shared" si="120"/>
        <v>36.022818525390626</v>
      </c>
      <c r="L940">
        <f t="shared" si="121"/>
        <v>14.385849466768214</v>
      </c>
    </row>
    <row r="941" spans="1:12" x14ac:dyDescent="0.25">
      <c r="A941" s="3">
        <v>42577</v>
      </c>
      <c r="B941" s="3" t="str">
        <f t="shared" si="114"/>
        <v>Jul</v>
      </c>
      <c r="C941" s="3" t="str">
        <f t="shared" si="115"/>
        <v>2016</v>
      </c>
      <c r="D941" s="3" t="str">
        <f t="shared" si="116"/>
        <v>Tuesday</v>
      </c>
      <c r="E941">
        <v>43894.993430000002</v>
      </c>
      <c r="F941">
        <v>37604.65842</v>
      </c>
      <c r="G941">
        <v>1044</v>
      </c>
      <c r="H941" s="1">
        <f t="shared" si="117"/>
        <v>42.045012863984674</v>
      </c>
      <c r="I941" s="1" t="str">
        <f t="shared" si="118"/>
        <v>Medium</v>
      </c>
      <c r="J941">
        <f t="shared" si="119"/>
        <v>14.330415654421486</v>
      </c>
      <c r="K941">
        <f t="shared" si="120"/>
        <v>36.019787758620687</v>
      </c>
      <c r="L941">
        <f t="shared" si="121"/>
        <v>14.330415654421486</v>
      </c>
    </row>
    <row r="942" spans="1:12" x14ac:dyDescent="0.25">
      <c r="A942" s="3">
        <v>42578</v>
      </c>
      <c r="B942" s="3" t="str">
        <f t="shared" si="114"/>
        <v>Jul</v>
      </c>
      <c r="C942" s="3" t="str">
        <f t="shared" si="115"/>
        <v>2016</v>
      </c>
      <c r="D942" s="3" t="str">
        <f t="shared" si="116"/>
        <v>Wednesday</v>
      </c>
      <c r="E942">
        <v>67780.728889999999</v>
      </c>
      <c r="F942">
        <v>58196.145989999997</v>
      </c>
      <c r="G942">
        <v>1611</v>
      </c>
      <c r="H942" s="1">
        <f t="shared" si="117"/>
        <v>42.073698876474239</v>
      </c>
      <c r="I942" s="1" t="str">
        <f t="shared" si="118"/>
        <v>High</v>
      </c>
      <c r="J942">
        <f t="shared" si="119"/>
        <v>14.140572190592154</v>
      </c>
      <c r="K942">
        <f t="shared" si="120"/>
        <v>36.124237113594042</v>
      </c>
      <c r="L942">
        <f t="shared" si="121"/>
        <v>14.140572190592149</v>
      </c>
    </row>
    <row r="943" spans="1:12" x14ac:dyDescent="0.25">
      <c r="A943" s="3">
        <v>42579</v>
      </c>
      <c r="B943" s="3" t="str">
        <f t="shared" si="114"/>
        <v>Jul</v>
      </c>
      <c r="C943" s="3" t="str">
        <f t="shared" si="115"/>
        <v>2016</v>
      </c>
      <c r="D943" s="3" t="str">
        <f t="shared" si="116"/>
        <v>Thursday</v>
      </c>
      <c r="E943">
        <v>51907.943149999999</v>
      </c>
      <c r="F943">
        <v>44544.630740000001</v>
      </c>
      <c r="G943">
        <v>1234</v>
      </c>
      <c r="H943" s="1">
        <f t="shared" si="117"/>
        <v>42.064783752025932</v>
      </c>
      <c r="I943" s="1" t="str">
        <f t="shared" si="118"/>
        <v>Medium</v>
      </c>
      <c r="J943">
        <f t="shared" si="119"/>
        <v>14.185328801647959</v>
      </c>
      <c r="K943">
        <f t="shared" si="120"/>
        <v>36.097755867098869</v>
      </c>
      <c r="L943">
        <f t="shared" si="121"/>
        <v>14.185328801647954</v>
      </c>
    </row>
    <row r="944" spans="1:12" x14ac:dyDescent="0.25">
      <c r="A944" s="3">
        <v>42580</v>
      </c>
      <c r="B944" s="3" t="str">
        <f t="shared" si="114"/>
        <v>Jul</v>
      </c>
      <c r="C944" s="3" t="str">
        <f t="shared" si="115"/>
        <v>2016</v>
      </c>
      <c r="D944" s="3" t="str">
        <f t="shared" si="116"/>
        <v>Friday</v>
      </c>
      <c r="E944">
        <v>93508.633889999997</v>
      </c>
      <c r="F944">
        <v>80346.694130000003</v>
      </c>
      <c r="G944">
        <v>2223</v>
      </c>
      <c r="H944" s="1">
        <f t="shared" si="117"/>
        <v>42.064162793522264</v>
      </c>
      <c r="I944" s="1" t="str">
        <f t="shared" si="118"/>
        <v>Medium</v>
      </c>
      <c r="J944">
        <f t="shared" si="119"/>
        <v>14.07564116002721</v>
      </c>
      <c r="K944">
        <f t="shared" si="120"/>
        <v>36.143362181736393</v>
      </c>
      <c r="L944">
        <f t="shared" si="121"/>
        <v>14.07564116002721</v>
      </c>
    </row>
    <row r="945" spans="1:12" x14ac:dyDescent="0.25">
      <c r="A945" s="3">
        <v>42581</v>
      </c>
      <c r="B945" s="3" t="str">
        <f t="shared" si="114"/>
        <v>Jul</v>
      </c>
      <c r="C945" s="3" t="str">
        <f t="shared" si="115"/>
        <v>2016</v>
      </c>
      <c r="D945" s="3" t="str">
        <f t="shared" si="116"/>
        <v>Saturday</v>
      </c>
      <c r="E945">
        <v>95343.595509999999</v>
      </c>
      <c r="F945">
        <v>81874.288860000001</v>
      </c>
      <c r="G945">
        <v>2267</v>
      </c>
      <c r="H945" s="1">
        <f t="shared" si="117"/>
        <v>42.05716608292898</v>
      </c>
      <c r="I945" s="1" t="str">
        <f t="shared" si="118"/>
        <v>Medium</v>
      </c>
      <c r="J945">
        <f t="shared" si="119"/>
        <v>14.127122622082453</v>
      </c>
      <c r="K945">
        <f t="shared" si="120"/>
        <v>36.11569865902073</v>
      </c>
      <c r="L945">
        <f t="shared" si="121"/>
        <v>14.127122622082455</v>
      </c>
    </row>
    <row r="946" spans="1:12" x14ac:dyDescent="0.25">
      <c r="A946" s="3">
        <v>42582</v>
      </c>
      <c r="B946" s="3" t="str">
        <f t="shared" si="114"/>
        <v>Jul</v>
      </c>
      <c r="C946" s="3" t="str">
        <f t="shared" si="115"/>
        <v>2016</v>
      </c>
      <c r="D946" s="3" t="str">
        <f t="shared" si="116"/>
        <v>Sunday</v>
      </c>
      <c r="E946">
        <v>59514.992330000001</v>
      </c>
      <c r="F946">
        <v>51145.403339999997</v>
      </c>
      <c r="G946">
        <v>1415</v>
      </c>
      <c r="H946" s="1">
        <f t="shared" si="117"/>
        <v>42.06006525088339</v>
      </c>
      <c r="I946" s="1" t="str">
        <f t="shared" si="118"/>
        <v>Medium</v>
      </c>
      <c r="J946">
        <f t="shared" si="119"/>
        <v>14.062992638211441</v>
      </c>
      <c r="K946">
        <f t="shared" si="120"/>
        <v>36.145161371024734</v>
      </c>
      <c r="L946">
        <f t="shared" si="121"/>
        <v>14.062992638211433</v>
      </c>
    </row>
    <row r="947" spans="1:12" x14ac:dyDescent="0.25">
      <c r="A947" s="3">
        <v>42583</v>
      </c>
      <c r="B947" s="3" t="str">
        <f t="shared" si="114"/>
        <v>Aug</v>
      </c>
      <c r="C947" s="3" t="str">
        <f t="shared" si="115"/>
        <v>2016</v>
      </c>
      <c r="D947" s="3" t="str">
        <f t="shared" si="116"/>
        <v>Monday</v>
      </c>
      <c r="E947">
        <v>65133.966200000003</v>
      </c>
      <c r="F947">
        <v>55946.056559999997</v>
      </c>
      <c r="G947">
        <v>1548</v>
      </c>
      <c r="H947" s="1">
        <f t="shared" si="117"/>
        <v>42.076205555555561</v>
      </c>
      <c r="I947" s="1" t="str">
        <f t="shared" si="118"/>
        <v>High</v>
      </c>
      <c r="J947">
        <f t="shared" si="119"/>
        <v>14.106172518018726</v>
      </c>
      <c r="K947">
        <f t="shared" si="120"/>
        <v>36.14086341085271</v>
      </c>
      <c r="L947">
        <f t="shared" si="121"/>
        <v>14.106172518018736</v>
      </c>
    </row>
    <row r="948" spans="1:12" x14ac:dyDescent="0.25">
      <c r="A948" s="3">
        <v>42584</v>
      </c>
      <c r="B948" s="3" t="str">
        <f t="shared" si="114"/>
        <v>Aug</v>
      </c>
      <c r="C948" s="3" t="str">
        <f t="shared" si="115"/>
        <v>2016</v>
      </c>
      <c r="D948" s="3" t="str">
        <f t="shared" si="116"/>
        <v>Tuesday</v>
      </c>
      <c r="E948">
        <v>70641.253719999993</v>
      </c>
      <c r="F948">
        <v>60629.553</v>
      </c>
      <c r="G948">
        <v>1679</v>
      </c>
      <c r="H948" s="1">
        <f t="shared" si="117"/>
        <v>42.073409005360332</v>
      </c>
      <c r="I948" s="1" t="str">
        <f t="shared" si="118"/>
        <v>Medium</v>
      </c>
      <c r="J948">
        <f t="shared" si="119"/>
        <v>14.17259772835186</v>
      </c>
      <c r="K948">
        <f t="shared" si="120"/>
        <v>36.110513996426441</v>
      </c>
      <c r="L948">
        <f t="shared" si="121"/>
        <v>14.172597728351874</v>
      </c>
    </row>
    <row r="949" spans="1:12" x14ac:dyDescent="0.25">
      <c r="A949" s="3">
        <v>42585</v>
      </c>
      <c r="B949" s="3" t="str">
        <f t="shared" si="114"/>
        <v>Aug</v>
      </c>
      <c r="C949" s="3" t="str">
        <f t="shared" si="115"/>
        <v>2016</v>
      </c>
      <c r="D949" s="3" t="str">
        <f t="shared" si="116"/>
        <v>Wednesday</v>
      </c>
      <c r="E949">
        <v>48442.171479999997</v>
      </c>
      <c r="F949">
        <v>41610.783940000001</v>
      </c>
      <c r="G949">
        <v>1152</v>
      </c>
      <c r="H949" s="1">
        <f t="shared" si="117"/>
        <v>42.050496076388889</v>
      </c>
      <c r="I949" s="1" t="str">
        <f t="shared" si="118"/>
        <v>Medium</v>
      </c>
      <c r="J949">
        <f t="shared" si="119"/>
        <v>14.102149699916788</v>
      </c>
      <c r="K949">
        <f t="shared" si="120"/>
        <v>36.120472170138889</v>
      </c>
      <c r="L949">
        <f t="shared" si="121"/>
        <v>14.102149699916797</v>
      </c>
    </row>
    <row r="950" spans="1:12" x14ac:dyDescent="0.25">
      <c r="A950" s="3">
        <v>42586</v>
      </c>
      <c r="B950" s="3" t="str">
        <f t="shared" si="114"/>
        <v>Aug</v>
      </c>
      <c r="C950" s="3" t="str">
        <f t="shared" si="115"/>
        <v>2016</v>
      </c>
      <c r="D950" s="3" t="str">
        <f t="shared" si="116"/>
        <v>Thursday</v>
      </c>
      <c r="E950">
        <v>46291.371919999998</v>
      </c>
      <c r="F950">
        <v>39783.360670000002</v>
      </c>
      <c r="G950">
        <v>1101</v>
      </c>
      <c r="H950" s="1">
        <f t="shared" si="117"/>
        <v>42.044842797456859</v>
      </c>
      <c r="I950" s="1" t="str">
        <f t="shared" si="118"/>
        <v>Medium</v>
      </c>
      <c r="J950">
        <f t="shared" si="119"/>
        <v>14.058799685710408</v>
      </c>
      <c r="K950">
        <f t="shared" si="120"/>
        <v>36.133842570390556</v>
      </c>
      <c r="L950">
        <f t="shared" si="121"/>
        <v>14.058799685710415</v>
      </c>
    </row>
    <row r="951" spans="1:12" x14ac:dyDescent="0.25">
      <c r="A951" s="3">
        <v>42587</v>
      </c>
      <c r="B951" s="3" t="str">
        <f t="shared" si="114"/>
        <v>Aug</v>
      </c>
      <c r="C951" s="3" t="str">
        <f t="shared" si="115"/>
        <v>2016</v>
      </c>
      <c r="D951" s="3" t="str">
        <f t="shared" si="116"/>
        <v>Friday</v>
      </c>
      <c r="E951">
        <v>73453.143290000007</v>
      </c>
      <c r="F951">
        <v>63386.492590000002</v>
      </c>
      <c r="G951">
        <v>1746</v>
      </c>
      <c r="H951" s="1">
        <f t="shared" si="117"/>
        <v>42.069383327605962</v>
      </c>
      <c r="I951" s="1" t="str">
        <f t="shared" si="118"/>
        <v>Medium</v>
      </c>
      <c r="J951">
        <f t="shared" si="119"/>
        <v>13.704860335596408</v>
      </c>
      <c r="K951">
        <f t="shared" si="120"/>
        <v>36.303833098510886</v>
      </c>
      <c r="L951">
        <f t="shared" si="121"/>
        <v>13.704860335596406</v>
      </c>
    </row>
    <row r="952" spans="1:12" x14ac:dyDescent="0.25">
      <c r="A952" s="3">
        <v>42588</v>
      </c>
      <c r="B952" s="3" t="str">
        <f t="shared" si="114"/>
        <v>Aug</v>
      </c>
      <c r="C952" s="3" t="str">
        <f t="shared" si="115"/>
        <v>2016</v>
      </c>
      <c r="D952" s="3" t="str">
        <f t="shared" si="116"/>
        <v>Saturday</v>
      </c>
      <c r="E952">
        <v>71508.897949999999</v>
      </c>
      <c r="F952">
        <v>61500.574650000002</v>
      </c>
      <c r="G952">
        <v>1700</v>
      </c>
      <c r="H952" s="1">
        <f t="shared" si="117"/>
        <v>42.064057617647059</v>
      </c>
      <c r="I952" s="1" t="str">
        <f t="shared" si="118"/>
        <v>Medium</v>
      </c>
      <c r="J952">
        <f t="shared" si="119"/>
        <v>13.995913217678105</v>
      </c>
      <c r="K952">
        <f t="shared" si="120"/>
        <v>36.176808617647062</v>
      </c>
      <c r="L952">
        <f t="shared" si="121"/>
        <v>13.995913217678101</v>
      </c>
    </row>
    <row r="953" spans="1:12" x14ac:dyDescent="0.25">
      <c r="A953" s="3">
        <v>42589</v>
      </c>
      <c r="B953" s="3" t="str">
        <f t="shared" si="114"/>
        <v>Aug</v>
      </c>
      <c r="C953" s="3" t="str">
        <f t="shared" si="115"/>
        <v>2016</v>
      </c>
      <c r="D953" s="3" t="str">
        <f t="shared" si="116"/>
        <v>Sunday</v>
      </c>
      <c r="E953">
        <v>30066.126179999999</v>
      </c>
      <c r="F953">
        <v>25872.48835</v>
      </c>
      <c r="G953">
        <v>715</v>
      </c>
      <c r="H953" s="1">
        <f t="shared" si="117"/>
        <v>42.050526125874121</v>
      </c>
      <c r="I953" s="1" t="str">
        <f t="shared" si="118"/>
        <v>Medium</v>
      </c>
      <c r="J953">
        <f t="shared" si="119"/>
        <v>13.948048394706763</v>
      </c>
      <c r="K953">
        <f t="shared" si="120"/>
        <v>36.185298391608391</v>
      </c>
      <c r="L953">
        <f t="shared" si="121"/>
        <v>13.948048394706754</v>
      </c>
    </row>
    <row r="954" spans="1:12" x14ac:dyDescent="0.25">
      <c r="A954" s="3">
        <v>42590</v>
      </c>
      <c r="B954" s="3" t="str">
        <f t="shared" si="114"/>
        <v>Aug</v>
      </c>
      <c r="C954" s="3" t="str">
        <f t="shared" si="115"/>
        <v>2016</v>
      </c>
      <c r="D954" s="3" t="str">
        <f t="shared" si="116"/>
        <v>Monday</v>
      </c>
      <c r="E954">
        <v>37726.615899999997</v>
      </c>
      <c r="F954">
        <v>32490.136020000002</v>
      </c>
      <c r="G954">
        <v>897</v>
      </c>
      <c r="H954" s="1">
        <f t="shared" si="117"/>
        <v>42.05865763656633</v>
      </c>
      <c r="I954" s="1" t="str">
        <f t="shared" si="118"/>
        <v>Medium</v>
      </c>
      <c r="J954">
        <f t="shared" si="119"/>
        <v>13.880067838260562</v>
      </c>
      <c r="K954">
        <f t="shared" si="120"/>
        <v>36.220887424749165</v>
      </c>
      <c r="L954">
        <f t="shared" si="121"/>
        <v>13.880067838260569</v>
      </c>
    </row>
    <row r="955" spans="1:12" x14ac:dyDescent="0.25">
      <c r="A955" s="3">
        <v>42591</v>
      </c>
      <c r="B955" s="3" t="str">
        <f t="shared" si="114"/>
        <v>Aug</v>
      </c>
      <c r="C955" s="3" t="str">
        <f t="shared" si="115"/>
        <v>2016</v>
      </c>
      <c r="D955" s="3" t="str">
        <f t="shared" si="116"/>
        <v>Tuesday</v>
      </c>
      <c r="E955">
        <v>30831.694630000002</v>
      </c>
      <c r="F955">
        <v>26577.079450000001</v>
      </c>
      <c r="G955">
        <v>733</v>
      </c>
      <c r="H955" s="1">
        <f t="shared" si="117"/>
        <v>42.062339195088676</v>
      </c>
      <c r="I955" s="1" t="str">
        <f t="shared" si="118"/>
        <v>Medium</v>
      </c>
      <c r="J955">
        <f t="shared" si="119"/>
        <v>13.799485338247203</v>
      </c>
      <c r="K955">
        <f t="shared" si="120"/>
        <v>36.257952864938609</v>
      </c>
      <c r="L955">
        <f t="shared" si="121"/>
        <v>13.799485338247198</v>
      </c>
    </row>
    <row r="956" spans="1:12" x14ac:dyDescent="0.25">
      <c r="A956" s="3">
        <v>42592</v>
      </c>
      <c r="B956" s="3" t="str">
        <f t="shared" si="114"/>
        <v>Aug</v>
      </c>
      <c r="C956" s="3" t="str">
        <f t="shared" si="115"/>
        <v>2016</v>
      </c>
      <c r="D956" s="3" t="str">
        <f t="shared" si="116"/>
        <v>Wednesday</v>
      </c>
      <c r="E956">
        <v>146811.45509999999</v>
      </c>
      <c r="F956">
        <v>155135.62909999999</v>
      </c>
      <c r="G956">
        <v>4282</v>
      </c>
      <c r="H956" s="1">
        <f t="shared" si="117"/>
        <v>34.285720481083601</v>
      </c>
      <c r="I956" s="1" t="str">
        <f t="shared" si="118"/>
        <v>Low</v>
      </c>
      <c r="J956">
        <f t="shared" si="119"/>
        <v>-5.6699758164851808</v>
      </c>
      <c r="K956">
        <f t="shared" si="120"/>
        <v>36.229712540868753</v>
      </c>
      <c r="L956">
        <f t="shared" si="121"/>
        <v>-5.6699758164851977</v>
      </c>
    </row>
    <row r="957" spans="1:12" x14ac:dyDescent="0.25">
      <c r="A957" s="3">
        <v>42593</v>
      </c>
      <c r="B957" s="3" t="str">
        <f t="shared" si="114"/>
        <v>Aug</v>
      </c>
      <c r="C957" s="3" t="str">
        <f t="shared" si="115"/>
        <v>2016</v>
      </c>
      <c r="D957" s="3" t="str">
        <f t="shared" si="116"/>
        <v>Thursday</v>
      </c>
      <c r="E957">
        <v>99867.329620000004</v>
      </c>
      <c r="F957">
        <v>103826.70140000001</v>
      </c>
      <c r="G957">
        <v>2867</v>
      </c>
      <c r="H957" s="1">
        <f t="shared" si="117"/>
        <v>34.833390170910363</v>
      </c>
      <c r="I957" s="1" t="str">
        <f t="shared" si="118"/>
        <v>Low</v>
      </c>
      <c r="J957">
        <f t="shared" si="119"/>
        <v>-3.9646316719047179</v>
      </c>
      <c r="K957">
        <f t="shared" si="120"/>
        <v>36.214405790024415</v>
      </c>
      <c r="L957">
        <f t="shared" si="121"/>
        <v>-3.9646316719047032</v>
      </c>
    </row>
    <row r="958" spans="1:12" x14ac:dyDescent="0.25">
      <c r="A958" s="3">
        <v>42594</v>
      </c>
      <c r="B958" s="3" t="str">
        <f t="shared" si="114"/>
        <v>Aug</v>
      </c>
      <c r="C958" s="3" t="str">
        <f t="shared" si="115"/>
        <v>2016</v>
      </c>
      <c r="D958" s="3" t="str">
        <f t="shared" si="116"/>
        <v>Friday</v>
      </c>
      <c r="E958">
        <v>210664.8628</v>
      </c>
      <c r="F958">
        <v>220379.27669999999</v>
      </c>
      <c r="G958">
        <v>6082</v>
      </c>
      <c r="H958" s="1">
        <f t="shared" si="117"/>
        <v>34.637432226241366</v>
      </c>
      <c r="I958" s="1" t="str">
        <f t="shared" si="118"/>
        <v>Low</v>
      </c>
      <c r="J958">
        <f t="shared" si="119"/>
        <v>-4.6113119059739009</v>
      </c>
      <c r="K958">
        <f t="shared" si="120"/>
        <v>36.234672262413675</v>
      </c>
      <c r="L958">
        <f t="shared" si="121"/>
        <v>-4.6113119059739009</v>
      </c>
    </row>
    <row r="959" spans="1:12" x14ac:dyDescent="0.25">
      <c r="A959" s="3">
        <v>42595</v>
      </c>
      <c r="B959" s="3" t="str">
        <f t="shared" si="114"/>
        <v>Aug</v>
      </c>
      <c r="C959" s="3" t="str">
        <f t="shared" si="115"/>
        <v>2016</v>
      </c>
      <c r="D959" s="3" t="str">
        <f t="shared" si="116"/>
        <v>Saturday</v>
      </c>
      <c r="E959">
        <v>266271.03909999999</v>
      </c>
      <c r="F959">
        <v>281658.41830000002</v>
      </c>
      <c r="G959">
        <v>7771</v>
      </c>
      <c r="H959" s="1">
        <f t="shared" si="117"/>
        <v>34.26470712906962</v>
      </c>
      <c r="I959" s="1" t="str">
        <f t="shared" si="118"/>
        <v>Low</v>
      </c>
      <c r="J959">
        <f t="shared" si="119"/>
        <v>-5.7788407075773591</v>
      </c>
      <c r="K959">
        <f t="shared" si="120"/>
        <v>36.244809972976455</v>
      </c>
      <c r="L959">
        <f t="shared" si="121"/>
        <v>-5.7788407075773529</v>
      </c>
    </row>
    <row r="960" spans="1:12" x14ac:dyDescent="0.25">
      <c r="A960" s="3">
        <v>42596</v>
      </c>
      <c r="B960" s="3" t="str">
        <f t="shared" si="114"/>
        <v>Aug</v>
      </c>
      <c r="C960" s="3" t="str">
        <f t="shared" si="115"/>
        <v>2016</v>
      </c>
      <c r="D960" s="3" t="str">
        <f t="shared" si="116"/>
        <v>Sunday</v>
      </c>
      <c r="E960">
        <v>123084.03909999999</v>
      </c>
      <c r="F960">
        <v>129601.5272</v>
      </c>
      <c r="G960">
        <v>3576</v>
      </c>
      <c r="H960" s="1">
        <f t="shared" si="117"/>
        <v>34.419474021252796</v>
      </c>
      <c r="I960" s="1" t="str">
        <f t="shared" si="118"/>
        <v>Low</v>
      </c>
      <c r="J960">
        <f t="shared" si="119"/>
        <v>-5.2951529277527607</v>
      </c>
      <c r="K960">
        <f t="shared" si="120"/>
        <v>36.242037807606266</v>
      </c>
      <c r="L960">
        <f t="shared" si="121"/>
        <v>-5.295152927752766</v>
      </c>
    </row>
    <row r="961" spans="1:12" x14ac:dyDescent="0.25">
      <c r="A961" s="3">
        <v>42597</v>
      </c>
      <c r="B961" s="3" t="str">
        <f t="shared" si="114"/>
        <v>Aug</v>
      </c>
      <c r="C961" s="3" t="str">
        <f t="shared" si="115"/>
        <v>2016</v>
      </c>
      <c r="D961" s="3" t="str">
        <f t="shared" si="116"/>
        <v>Monday</v>
      </c>
      <c r="E961">
        <v>162727.52480000001</v>
      </c>
      <c r="F961">
        <v>168580.17060000001</v>
      </c>
      <c r="G961">
        <v>4649</v>
      </c>
      <c r="H961" s="1">
        <f t="shared" si="117"/>
        <v>35.002694084749415</v>
      </c>
      <c r="I961" s="1" t="str">
        <f t="shared" si="118"/>
        <v>Low</v>
      </c>
      <c r="J961">
        <f t="shared" si="119"/>
        <v>-3.5965924063511583</v>
      </c>
      <c r="K961">
        <f t="shared" si="120"/>
        <v>36.261598322219832</v>
      </c>
      <c r="L961">
        <f t="shared" si="121"/>
        <v>-3.5965924063511423</v>
      </c>
    </row>
    <row r="962" spans="1:12" x14ac:dyDescent="0.25">
      <c r="A962" s="3">
        <v>42598</v>
      </c>
      <c r="B962" s="3" t="str">
        <f t="shared" si="114"/>
        <v>Aug</v>
      </c>
      <c r="C962" s="3" t="str">
        <f t="shared" si="115"/>
        <v>2016</v>
      </c>
      <c r="D962" s="3" t="str">
        <f t="shared" si="116"/>
        <v>Tuesday</v>
      </c>
      <c r="E962">
        <v>114708.946</v>
      </c>
      <c r="F962">
        <v>119758.06170000001</v>
      </c>
      <c r="G962">
        <v>3302</v>
      </c>
      <c r="H962" s="1">
        <f t="shared" si="117"/>
        <v>34.739232586311324</v>
      </c>
      <c r="I962" s="1" t="str">
        <f t="shared" si="118"/>
        <v>Low</v>
      </c>
      <c r="J962">
        <f t="shared" si="119"/>
        <v>-4.4016756112465805</v>
      </c>
      <c r="K962">
        <f t="shared" si="120"/>
        <v>36.268340914597218</v>
      </c>
      <c r="L962">
        <f t="shared" si="121"/>
        <v>-4.4016756112465893</v>
      </c>
    </row>
    <row r="963" spans="1:12" x14ac:dyDescent="0.25">
      <c r="A963" s="3">
        <v>42599</v>
      </c>
      <c r="B963" s="3" t="str">
        <f t="shared" ref="B963:B1026" si="122">TEXT(A963,"mmm")</f>
        <v>Aug</v>
      </c>
      <c r="C963" s="3" t="str">
        <f t="shared" ref="C963:C1026" si="123">TEXT(A963,"yyyy")</f>
        <v>2016</v>
      </c>
      <c r="D963" s="3" t="str">
        <f t="shared" ref="D963:D1026" si="124">TEXT(A963,"dddd")</f>
        <v>Wednesday</v>
      </c>
      <c r="E963">
        <v>122318.9075</v>
      </c>
      <c r="F963">
        <v>128298.3435</v>
      </c>
      <c r="G963">
        <v>3536</v>
      </c>
      <c r="H963" s="1">
        <f t="shared" ref="H963:H1026" si="125">E963/G963</f>
        <v>34.592451216063345</v>
      </c>
      <c r="I963" s="1" t="str">
        <f t="shared" ref="I963:I1026" si="126">IF(H963&lt;PERCENTILE(H963:H2015,0.33),"Low", IF(H963&gt;PERCENTILE(H963:H2015,0.67),"High","Medium"))</f>
        <v>Low</v>
      </c>
      <c r="J963">
        <f t="shared" ref="J963:J1026" si="127">(E963-F963)/E963 *100</f>
        <v>-4.8883987947652345</v>
      </c>
      <c r="K963">
        <f t="shared" ref="K963:K1026" si="128">F963/G963</f>
        <v>36.283468184389143</v>
      </c>
      <c r="L963">
        <f t="shared" ref="L963:L1026" si="129">(H963-K963)/H963 *100</f>
        <v>-4.8883987947652505</v>
      </c>
    </row>
    <row r="964" spans="1:12" x14ac:dyDescent="0.25">
      <c r="A964" s="3">
        <v>42600</v>
      </c>
      <c r="B964" s="3" t="str">
        <f t="shared" si="122"/>
        <v>Aug</v>
      </c>
      <c r="C964" s="3" t="str">
        <f t="shared" si="123"/>
        <v>2016</v>
      </c>
      <c r="D964" s="3" t="str">
        <f t="shared" si="124"/>
        <v>Thursday</v>
      </c>
      <c r="E964">
        <v>112010.34450000001</v>
      </c>
      <c r="F964">
        <v>117374.19160000001</v>
      </c>
      <c r="G964">
        <v>3236</v>
      </c>
      <c r="H964" s="1">
        <f t="shared" si="125"/>
        <v>34.613827101359703</v>
      </c>
      <c r="I964" s="1" t="str">
        <f t="shared" si="126"/>
        <v>Low</v>
      </c>
      <c r="J964">
        <f t="shared" si="127"/>
        <v>-4.7887069037628027</v>
      </c>
      <c r="K964">
        <f t="shared" si="128"/>
        <v>36.271381829419035</v>
      </c>
      <c r="L964">
        <f t="shared" si="129"/>
        <v>-4.7887069037628001</v>
      </c>
    </row>
    <row r="965" spans="1:12" x14ac:dyDescent="0.25">
      <c r="A965" s="3">
        <v>42601</v>
      </c>
      <c r="B965" s="3" t="str">
        <f t="shared" si="122"/>
        <v>Aug</v>
      </c>
      <c r="C965" s="3" t="str">
        <f t="shared" si="123"/>
        <v>2016</v>
      </c>
      <c r="D965" s="3" t="str">
        <f t="shared" si="124"/>
        <v>Friday</v>
      </c>
      <c r="E965">
        <v>229861.47029999999</v>
      </c>
      <c r="F965">
        <v>241090.1336</v>
      </c>
      <c r="G965">
        <v>6646</v>
      </c>
      <c r="H965" s="1">
        <f t="shared" si="125"/>
        <v>34.586438504363528</v>
      </c>
      <c r="I965" s="1" t="str">
        <f t="shared" si="126"/>
        <v>Low</v>
      </c>
      <c r="J965">
        <f t="shared" si="127"/>
        <v>-4.8849697538892043</v>
      </c>
      <c r="K965">
        <f t="shared" si="128"/>
        <v>36.275975564249173</v>
      </c>
      <c r="L965">
        <f t="shared" si="129"/>
        <v>-4.8849697538891945</v>
      </c>
    </row>
    <row r="966" spans="1:12" x14ac:dyDescent="0.25">
      <c r="A966" s="3">
        <v>42602</v>
      </c>
      <c r="B966" s="3" t="str">
        <f t="shared" si="122"/>
        <v>Aug</v>
      </c>
      <c r="C966" s="3" t="str">
        <f t="shared" si="123"/>
        <v>2016</v>
      </c>
      <c r="D966" s="3" t="str">
        <f t="shared" si="124"/>
        <v>Saturday</v>
      </c>
      <c r="E966">
        <v>249981.24969999999</v>
      </c>
      <c r="F966">
        <v>262145.17729999998</v>
      </c>
      <c r="G966">
        <v>7220</v>
      </c>
      <c r="H966" s="1">
        <f t="shared" si="125"/>
        <v>34.623441786703602</v>
      </c>
      <c r="I966" s="1" t="str">
        <f t="shared" si="126"/>
        <v>Low</v>
      </c>
      <c r="J966">
        <f t="shared" si="127"/>
        <v>-4.8659359910384499</v>
      </c>
      <c r="K966">
        <f t="shared" si="128"/>
        <v>36.308196301939056</v>
      </c>
      <c r="L966">
        <f t="shared" si="129"/>
        <v>-4.8659359910384428</v>
      </c>
    </row>
    <row r="967" spans="1:12" x14ac:dyDescent="0.25">
      <c r="A967" s="3">
        <v>42603</v>
      </c>
      <c r="B967" s="3" t="str">
        <f t="shared" si="122"/>
        <v>Aug</v>
      </c>
      <c r="C967" s="3" t="str">
        <f t="shared" si="123"/>
        <v>2016</v>
      </c>
      <c r="D967" s="3" t="str">
        <f t="shared" si="124"/>
        <v>Sunday</v>
      </c>
      <c r="E967">
        <v>136480.24909999999</v>
      </c>
      <c r="F967">
        <v>143734.22719999999</v>
      </c>
      <c r="G967">
        <v>3958</v>
      </c>
      <c r="H967" s="1">
        <f t="shared" si="125"/>
        <v>34.482124583122783</v>
      </c>
      <c r="I967" s="1" t="str">
        <f t="shared" si="126"/>
        <v>Low</v>
      </c>
      <c r="J967">
        <f t="shared" si="127"/>
        <v>-5.3150387311243623</v>
      </c>
      <c r="K967">
        <f t="shared" si="128"/>
        <v>36.314862860030317</v>
      </c>
      <c r="L967">
        <f t="shared" si="129"/>
        <v>-5.3150387311243721</v>
      </c>
    </row>
    <row r="968" spans="1:12" x14ac:dyDescent="0.25">
      <c r="A968" s="3">
        <v>42604</v>
      </c>
      <c r="B968" s="3" t="str">
        <f t="shared" si="122"/>
        <v>Aug</v>
      </c>
      <c r="C968" s="3" t="str">
        <f t="shared" si="123"/>
        <v>2016</v>
      </c>
      <c r="D968" s="3" t="str">
        <f t="shared" si="124"/>
        <v>Monday</v>
      </c>
      <c r="E968">
        <v>127369.8026</v>
      </c>
      <c r="F968">
        <v>133350.16140000001</v>
      </c>
      <c r="G968">
        <v>3672</v>
      </c>
      <c r="H968" s="1">
        <f t="shared" si="125"/>
        <v>34.686765413943355</v>
      </c>
      <c r="I968" s="1" t="str">
        <f t="shared" si="126"/>
        <v>Low</v>
      </c>
      <c r="J968">
        <f t="shared" si="127"/>
        <v>-4.6952720958366445</v>
      </c>
      <c r="K968">
        <f t="shared" si="128"/>
        <v>36.315403431372552</v>
      </c>
      <c r="L968">
        <f t="shared" si="129"/>
        <v>-4.6952720958366383</v>
      </c>
    </row>
    <row r="969" spans="1:12" x14ac:dyDescent="0.25">
      <c r="A969" s="3">
        <v>42605</v>
      </c>
      <c r="B969" s="3" t="str">
        <f t="shared" si="122"/>
        <v>Aug</v>
      </c>
      <c r="C969" s="3" t="str">
        <f t="shared" si="123"/>
        <v>2016</v>
      </c>
      <c r="D969" s="3" t="str">
        <f t="shared" si="124"/>
        <v>Tuesday</v>
      </c>
      <c r="E969">
        <v>43537.728159999999</v>
      </c>
      <c r="F969">
        <v>37649.38753</v>
      </c>
      <c r="G969">
        <v>1035</v>
      </c>
      <c r="H969" s="1">
        <f t="shared" si="125"/>
        <v>42.065437835748789</v>
      </c>
      <c r="I969" s="1" t="str">
        <f t="shared" si="126"/>
        <v>Medium</v>
      </c>
      <c r="J969">
        <f t="shared" si="127"/>
        <v>13.524685092342214</v>
      </c>
      <c r="K969">
        <f t="shared" si="128"/>
        <v>36.376219835748792</v>
      </c>
      <c r="L969">
        <f t="shared" si="129"/>
        <v>13.524685092342212</v>
      </c>
    </row>
    <row r="970" spans="1:12" x14ac:dyDescent="0.25">
      <c r="A970" s="3">
        <v>42606</v>
      </c>
      <c r="B970" s="3" t="str">
        <f t="shared" si="122"/>
        <v>Aug</v>
      </c>
      <c r="C970" s="3" t="str">
        <f t="shared" si="123"/>
        <v>2016</v>
      </c>
      <c r="D970" s="3" t="str">
        <f t="shared" si="124"/>
        <v>Wednesday</v>
      </c>
      <c r="E970">
        <v>120407.4133</v>
      </c>
      <c r="F970">
        <v>127699.41590000001</v>
      </c>
      <c r="G970">
        <v>3549</v>
      </c>
      <c r="H970" s="1">
        <f t="shared" si="125"/>
        <v>33.927138151591997</v>
      </c>
      <c r="I970" s="1" t="str">
        <f t="shared" si="126"/>
        <v>Low</v>
      </c>
      <c r="J970">
        <f t="shared" si="127"/>
        <v>-6.0561076765528421</v>
      </c>
      <c r="K970">
        <f t="shared" si="128"/>
        <v>35.981802169625247</v>
      </c>
      <c r="L970">
        <f t="shared" si="129"/>
        <v>-6.0561076765528403</v>
      </c>
    </row>
    <row r="971" spans="1:12" x14ac:dyDescent="0.25">
      <c r="A971" s="3">
        <v>42607</v>
      </c>
      <c r="B971" s="3" t="str">
        <f t="shared" si="122"/>
        <v>Aug</v>
      </c>
      <c r="C971" s="3" t="str">
        <f t="shared" si="123"/>
        <v>2016</v>
      </c>
      <c r="D971" s="3" t="str">
        <f t="shared" si="124"/>
        <v>Thursday</v>
      </c>
      <c r="E971">
        <v>226375.54310000001</v>
      </c>
      <c r="F971">
        <v>240429.68549999999</v>
      </c>
      <c r="G971">
        <v>6647</v>
      </c>
      <c r="H971" s="1">
        <f t="shared" si="125"/>
        <v>34.056799022115243</v>
      </c>
      <c r="I971" s="1" t="str">
        <f t="shared" si="126"/>
        <v>Low</v>
      </c>
      <c r="J971">
        <f t="shared" si="127"/>
        <v>-6.2083307266949994</v>
      </c>
      <c r="K971">
        <f t="shared" si="128"/>
        <v>36.171157740333982</v>
      </c>
      <c r="L971">
        <f t="shared" si="129"/>
        <v>-6.2083307266949888</v>
      </c>
    </row>
    <row r="972" spans="1:12" x14ac:dyDescent="0.25">
      <c r="A972" s="3">
        <v>42608</v>
      </c>
      <c r="B972" s="3" t="str">
        <f t="shared" si="122"/>
        <v>Aug</v>
      </c>
      <c r="C972" s="3" t="str">
        <f t="shared" si="123"/>
        <v>2016</v>
      </c>
      <c r="D972" s="3" t="str">
        <f t="shared" si="124"/>
        <v>Friday</v>
      </c>
      <c r="E972">
        <v>337900.17820000002</v>
      </c>
      <c r="F972">
        <v>358772.25040000002</v>
      </c>
      <c r="G972">
        <v>9908</v>
      </c>
      <c r="H972" s="1">
        <f t="shared" si="125"/>
        <v>34.103772527250712</v>
      </c>
      <c r="I972" s="1" t="str">
        <f t="shared" si="126"/>
        <v>Low</v>
      </c>
      <c r="J972">
        <f t="shared" si="127"/>
        <v>-6.1769935461963588</v>
      </c>
      <c r="K972">
        <f t="shared" si="128"/>
        <v>36.21036035526847</v>
      </c>
      <c r="L972">
        <f t="shared" si="129"/>
        <v>-6.1769935461963454</v>
      </c>
    </row>
    <row r="973" spans="1:12" x14ac:dyDescent="0.25">
      <c r="A973" s="3">
        <v>42609</v>
      </c>
      <c r="B973" s="3" t="str">
        <f t="shared" si="122"/>
        <v>Aug</v>
      </c>
      <c r="C973" s="3" t="str">
        <f t="shared" si="123"/>
        <v>2016</v>
      </c>
      <c r="D973" s="3" t="str">
        <f t="shared" si="124"/>
        <v>Saturday</v>
      </c>
      <c r="E973">
        <v>355069.54009999998</v>
      </c>
      <c r="F973">
        <v>376755.56449999998</v>
      </c>
      <c r="G973">
        <v>10393</v>
      </c>
      <c r="H973" s="1">
        <f t="shared" si="125"/>
        <v>34.164297132685462</v>
      </c>
      <c r="I973" s="1" t="str">
        <f t="shared" si="126"/>
        <v>Low</v>
      </c>
      <c r="J973">
        <f t="shared" si="127"/>
        <v>-6.1075428756554144</v>
      </c>
      <c r="K973">
        <f t="shared" si="128"/>
        <v>36.250896228230538</v>
      </c>
      <c r="L973">
        <f t="shared" si="129"/>
        <v>-6.1075428756554073</v>
      </c>
    </row>
    <row r="974" spans="1:12" x14ac:dyDescent="0.25">
      <c r="A974" s="3">
        <v>42610</v>
      </c>
      <c r="B974" s="3" t="str">
        <f t="shared" si="122"/>
        <v>Aug</v>
      </c>
      <c r="C974" s="3" t="str">
        <f t="shared" si="123"/>
        <v>2016</v>
      </c>
      <c r="D974" s="3" t="str">
        <f t="shared" si="124"/>
        <v>Sunday</v>
      </c>
      <c r="E974">
        <v>153893.68520000001</v>
      </c>
      <c r="F974">
        <v>163401.32920000001</v>
      </c>
      <c r="G974">
        <v>4507</v>
      </c>
      <c r="H974" s="1">
        <f t="shared" si="125"/>
        <v>34.145481517639233</v>
      </c>
      <c r="I974" s="1" t="str">
        <f t="shared" si="126"/>
        <v>Low</v>
      </c>
      <c r="J974">
        <f t="shared" si="127"/>
        <v>-6.1780598649281027</v>
      </c>
      <c r="K974">
        <f t="shared" si="128"/>
        <v>36.255009806966939</v>
      </c>
      <c r="L974">
        <f t="shared" si="129"/>
        <v>-6.1780598649280831</v>
      </c>
    </row>
    <row r="975" spans="1:12" x14ac:dyDescent="0.25">
      <c r="A975" s="3">
        <v>42611</v>
      </c>
      <c r="B975" s="3" t="str">
        <f t="shared" si="122"/>
        <v>Aug</v>
      </c>
      <c r="C975" s="3" t="str">
        <f t="shared" si="123"/>
        <v>2016</v>
      </c>
      <c r="D975" s="3" t="str">
        <f t="shared" si="124"/>
        <v>Monday</v>
      </c>
      <c r="E975">
        <v>159625.7409</v>
      </c>
      <c r="F975">
        <v>169479.1061</v>
      </c>
      <c r="G975">
        <v>4672</v>
      </c>
      <c r="H975" s="1">
        <f t="shared" si="125"/>
        <v>34.166468514554794</v>
      </c>
      <c r="I975" s="1" t="str">
        <f t="shared" si="126"/>
        <v>Low</v>
      </c>
      <c r="J975">
        <f t="shared" si="127"/>
        <v>-6.1727921477105578</v>
      </c>
      <c r="K975">
        <f t="shared" si="128"/>
        <v>36.275493600171231</v>
      </c>
      <c r="L975">
        <f t="shared" si="129"/>
        <v>-6.1727921477105552</v>
      </c>
    </row>
    <row r="976" spans="1:12" x14ac:dyDescent="0.25">
      <c r="A976" s="3">
        <v>42612</v>
      </c>
      <c r="B976" s="3" t="str">
        <f t="shared" si="122"/>
        <v>Aug</v>
      </c>
      <c r="C976" s="3" t="str">
        <f t="shared" si="123"/>
        <v>2016</v>
      </c>
      <c r="D976" s="3" t="str">
        <f t="shared" si="124"/>
        <v>Tuesday</v>
      </c>
      <c r="E976">
        <v>133961.967</v>
      </c>
      <c r="F976">
        <v>142299.9178</v>
      </c>
      <c r="G976">
        <v>3924</v>
      </c>
      <c r="H976" s="1">
        <f t="shared" si="125"/>
        <v>34.139135321100916</v>
      </c>
      <c r="I976" s="1" t="str">
        <f t="shared" si="126"/>
        <v>Low</v>
      </c>
      <c r="J976">
        <f t="shared" si="127"/>
        <v>-6.2241179244553724</v>
      </c>
      <c r="K976">
        <f t="shared" si="128"/>
        <v>36.263995361875637</v>
      </c>
      <c r="L976">
        <f t="shared" si="129"/>
        <v>-6.2241179244553813</v>
      </c>
    </row>
    <row r="977" spans="1:12" x14ac:dyDescent="0.25">
      <c r="A977" s="3">
        <v>42613</v>
      </c>
      <c r="B977" s="3" t="str">
        <f t="shared" si="122"/>
        <v>Aug</v>
      </c>
      <c r="C977" s="3" t="str">
        <f t="shared" si="123"/>
        <v>2016</v>
      </c>
      <c r="D977" s="3" t="str">
        <f t="shared" si="124"/>
        <v>Wednesday</v>
      </c>
      <c r="E977">
        <v>236305.15640000001</v>
      </c>
      <c r="F977">
        <v>250572.4534</v>
      </c>
      <c r="G977">
        <v>6918</v>
      </c>
      <c r="H977" s="1">
        <f t="shared" si="125"/>
        <v>34.158016247470371</v>
      </c>
      <c r="I977" s="1" t="str">
        <f t="shared" si="126"/>
        <v>Low</v>
      </c>
      <c r="J977">
        <f t="shared" si="127"/>
        <v>-6.0376579239131623</v>
      </c>
      <c r="K977">
        <f t="shared" si="128"/>
        <v>36.22036042208731</v>
      </c>
      <c r="L977">
        <f t="shared" si="129"/>
        <v>-6.0376579239131587</v>
      </c>
    </row>
    <row r="978" spans="1:12" x14ac:dyDescent="0.25">
      <c r="A978" s="3">
        <v>42614</v>
      </c>
      <c r="B978" s="3" t="str">
        <f t="shared" si="122"/>
        <v>Sep</v>
      </c>
      <c r="C978" s="3" t="str">
        <f t="shared" si="123"/>
        <v>2016</v>
      </c>
      <c r="D978" s="3" t="str">
        <f t="shared" si="124"/>
        <v>Thursday</v>
      </c>
      <c r="E978">
        <v>313491.73509999999</v>
      </c>
      <c r="F978">
        <v>333030.87569999998</v>
      </c>
      <c r="G978">
        <v>9183</v>
      </c>
      <c r="H978" s="1">
        <f t="shared" si="125"/>
        <v>34.138270184035719</v>
      </c>
      <c r="I978" s="1" t="str">
        <f t="shared" si="126"/>
        <v>Low</v>
      </c>
      <c r="J978">
        <f t="shared" si="127"/>
        <v>-6.2327450494882228</v>
      </c>
      <c r="K978">
        <f t="shared" si="128"/>
        <v>36.26602152891212</v>
      </c>
      <c r="L978">
        <f t="shared" si="129"/>
        <v>-6.2327450494882255</v>
      </c>
    </row>
    <row r="979" spans="1:12" x14ac:dyDescent="0.25">
      <c r="A979" s="3">
        <v>42615</v>
      </c>
      <c r="B979" s="3" t="str">
        <f t="shared" si="122"/>
        <v>Sep</v>
      </c>
      <c r="C979" s="3" t="str">
        <f t="shared" si="123"/>
        <v>2016</v>
      </c>
      <c r="D979" s="3" t="str">
        <f t="shared" si="124"/>
        <v>Friday</v>
      </c>
      <c r="E979">
        <v>370355.00170000002</v>
      </c>
      <c r="F979">
        <v>392493.08270000003</v>
      </c>
      <c r="G979">
        <v>10830</v>
      </c>
      <c r="H979" s="1">
        <f t="shared" si="125"/>
        <v>34.197137737765466</v>
      </c>
      <c r="I979" s="1" t="str">
        <f t="shared" si="126"/>
        <v>Low</v>
      </c>
      <c r="J979">
        <f t="shared" si="127"/>
        <v>-5.9775299100544066</v>
      </c>
      <c r="K979">
        <f t="shared" si="128"/>
        <v>36.241281874422903</v>
      </c>
      <c r="L979">
        <f t="shared" si="129"/>
        <v>-5.9775299100544155</v>
      </c>
    </row>
    <row r="980" spans="1:12" x14ac:dyDescent="0.25">
      <c r="A980" s="3">
        <v>42616</v>
      </c>
      <c r="B980" s="3" t="str">
        <f t="shared" si="122"/>
        <v>Sep</v>
      </c>
      <c r="C980" s="3" t="str">
        <f t="shared" si="123"/>
        <v>2016</v>
      </c>
      <c r="D980" s="3" t="str">
        <f t="shared" si="124"/>
        <v>Saturday</v>
      </c>
      <c r="E980">
        <v>369091.05540000001</v>
      </c>
      <c r="F980">
        <v>391842.50140000001</v>
      </c>
      <c r="G980">
        <v>10800</v>
      </c>
      <c r="H980" s="1">
        <f t="shared" si="125"/>
        <v>34.175097722222226</v>
      </c>
      <c r="I980" s="1" t="str">
        <f t="shared" si="126"/>
        <v>Low</v>
      </c>
      <c r="J980">
        <f t="shared" si="127"/>
        <v>-6.1641824333410806</v>
      </c>
      <c r="K980">
        <f t="shared" si="128"/>
        <v>36.281713092592597</v>
      </c>
      <c r="L980">
        <f t="shared" si="129"/>
        <v>-6.1641824333410806</v>
      </c>
    </row>
    <row r="981" spans="1:12" x14ac:dyDescent="0.25">
      <c r="A981" s="3">
        <v>42617</v>
      </c>
      <c r="B981" s="3" t="str">
        <f t="shared" si="122"/>
        <v>Sep</v>
      </c>
      <c r="C981" s="3" t="str">
        <f t="shared" si="123"/>
        <v>2016</v>
      </c>
      <c r="D981" s="3" t="str">
        <f t="shared" si="124"/>
        <v>Sunday</v>
      </c>
      <c r="E981">
        <v>209026.0197</v>
      </c>
      <c r="F981">
        <v>222163.72889999999</v>
      </c>
      <c r="G981">
        <v>6119</v>
      </c>
      <c r="H981" s="1">
        <f t="shared" si="125"/>
        <v>34.160160107860762</v>
      </c>
      <c r="I981" s="1" t="str">
        <f t="shared" si="126"/>
        <v>Low</v>
      </c>
      <c r="J981">
        <f t="shared" si="127"/>
        <v>-6.2852027794700351</v>
      </c>
      <c r="K981">
        <f t="shared" si="128"/>
        <v>36.307195440431443</v>
      </c>
      <c r="L981">
        <f t="shared" si="129"/>
        <v>-6.2852027794700422</v>
      </c>
    </row>
    <row r="982" spans="1:12" x14ac:dyDescent="0.25">
      <c r="A982" s="3">
        <v>42618</v>
      </c>
      <c r="B982" s="3" t="str">
        <f t="shared" si="122"/>
        <v>Sep</v>
      </c>
      <c r="C982" s="3" t="str">
        <f t="shared" si="123"/>
        <v>2016</v>
      </c>
      <c r="D982" s="3" t="str">
        <f t="shared" si="124"/>
        <v>Monday</v>
      </c>
      <c r="E982">
        <v>228177.3168</v>
      </c>
      <c r="F982">
        <v>242589.58720000001</v>
      </c>
      <c r="G982">
        <v>6685</v>
      </c>
      <c r="H982" s="1">
        <f t="shared" si="125"/>
        <v>34.132732505609575</v>
      </c>
      <c r="I982" s="1" t="str">
        <f t="shared" si="126"/>
        <v>Low</v>
      </c>
      <c r="J982">
        <f t="shared" si="127"/>
        <v>-6.31625904017117</v>
      </c>
      <c r="K982">
        <f t="shared" si="128"/>
        <v>36.288644308152584</v>
      </c>
      <c r="L982">
        <f t="shared" si="129"/>
        <v>-6.3162590401711736</v>
      </c>
    </row>
    <row r="983" spans="1:12" x14ac:dyDescent="0.25">
      <c r="A983" s="3">
        <v>42619</v>
      </c>
      <c r="B983" s="3" t="str">
        <f t="shared" si="122"/>
        <v>Sep</v>
      </c>
      <c r="C983" s="3" t="str">
        <f t="shared" si="123"/>
        <v>2016</v>
      </c>
      <c r="D983" s="3" t="str">
        <f t="shared" si="124"/>
        <v>Tuesday</v>
      </c>
      <c r="E983">
        <v>154494.78200000001</v>
      </c>
      <c r="F983">
        <v>164108.82639999999</v>
      </c>
      <c r="G983">
        <v>4519</v>
      </c>
      <c r="H983" s="1">
        <f t="shared" si="125"/>
        <v>34.187825182562513</v>
      </c>
      <c r="I983" s="1" t="str">
        <f t="shared" si="126"/>
        <v>Low</v>
      </c>
      <c r="J983">
        <f t="shared" si="127"/>
        <v>-6.2228926281794967</v>
      </c>
      <c r="K983">
        <f t="shared" si="128"/>
        <v>36.315296835583091</v>
      </c>
      <c r="L983">
        <f t="shared" si="129"/>
        <v>-6.2228926281795021</v>
      </c>
    </row>
    <row r="984" spans="1:12" x14ac:dyDescent="0.25">
      <c r="A984" s="3">
        <v>42620</v>
      </c>
      <c r="B984" s="3" t="str">
        <f t="shared" si="122"/>
        <v>Sep</v>
      </c>
      <c r="C984" s="3" t="str">
        <f t="shared" si="123"/>
        <v>2016</v>
      </c>
      <c r="D984" s="3" t="str">
        <f t="shared" si="124"/>
        <v>Wednesday</v>
      </c>
      <c r="E984">
        <v>50736.474170000001</v>
      </c>
      <c r="F984">
        <v>43830.19685</v>
      </c>
      <c r="G984">
        <v>1206</v>
      </c>
      <c r="H984" s="1">
        <f t="shared" si="125"/>
        <v>42.070044917081262</v>
      </c>
      <c r="I984" s="1" t="str">
        <f t="shared" si="126"/>
        <v>Medium</v>
      </c>
      <c r="J984">
        <f t="shared" si="127"/>
        <v>13.612056085843699</v>
      </c>
      <c r="K984">
        <f t="shared" si="128"/>
        <v>36.343446807628524</v>
      </c>
      <c r="L984">
        <f t="shared" si="129"/>
        <v>13.612056085843699</v>
      </c>
    </row>
    <row r="985" spans="1:12" x14ac:dyDescent="0.25">
      <c r="A985" s="3">
        <v>42621</v>
      </c>
      <c r="B985" s="3" t="str">
        <f t="shared" si="122"/>
        <v>Sep</v>
      </c>
      <c r="C985" s="3" t="str">
        <f t="shared" si="123"/>
        <v>2016</v>
      </c>
      <c r="D985" s="3" t="str">
        <f t="shared" si="124"/>
        <v>Thursday</v>
      </c>
      <c r="E985">
        <v>43292.149239999999</v>
      </c>
      <c r="F985">
        <v>37391.680890000003</v>
      </c>
      <c r="G985">
        <v>1029</v>
      </c>
      <c r="H985" s="1">
        <f t="shared" si="125"/>
        <v>42.07205951409135</v>
      </c>
      <c r="I985" s="1" t="str">
        <f t="shared" si="126"/>
        <v>Medium</v>
      </c>
      <c r="J985">
        <f t="shared" si="127"/>
        <v>13.629418852109628</v>
      </c>
      <c r="K985">
        <f t="shared" si="128"/>
        <v>36.337882303207003</v>
      </c>
      <c r="L985">
        <f t="shared" si="129"/>
        <v>13.629418852109623</v>
      </c>
    </row>
    <row r="986" spans="1:12" x14ac:dyDescent="0.25">
      <c r="A986" s="3">
        <v>42622</v>
      </c>
      <c r="B986" s="3" t="str">
        <f t="shared" si="122"/>
        <v>Sep</v>
      </c>
      <c r="C986" s="3" t="str">
        <f t="shared" si="123"/>
        <v>2016</v>
      </c>
      <c r="D986" s="3" t="str">
        <f t="shared" si="124"/>
        <v>Friday</v>
      </c>
      <c r="E986">
        <v>77335.918600000005</v>
      </c>
      <c r="F986">
        <v>69612.126699999993</v>
      </c>
      <c r="G986">
        <v>1917</v>
      </c>
      <c r="H986" s="1">
        <f t="shared" si="125"/>
        <v>40.342158894105374</v>
      </c>
      <c r="I986" s="1" t="str">
        <f t="shared" si="126"/>
        <v>Medium</v>
      </c>
      <c r="J986">
        <f t="shared" si="127"/>
        <v>9.9873280615561342</v>
      </c>
      <c r="K986">
        <f t="shared" si="128"/>
        <v>36.313055138236827</v>
      </c>
      <c r="L986">
        <f t="shared" si="129"/>
        <v>9.9873280615561271</v>
      </c>
    </row>
    <row r="987" spans="1:12" x14ac:dyDescent="0.25">
      <c r="A987" s="3">
        <v>42623</v>
      </c>
      <c r="B987" s="3" t="str">
        <f t="shared" si="122"/>
        <v>Sep</v>
      </c>
      <c r="C987" s="3" t="str">
        <f t="shared" si="123"/>
        <v>2016</v>
      </c>
      <c r="D987" s="3" t="str">
        <f t="shared" si="124"/>
        <v>Saturday</v>
      </c>
      <c r="E987">
        <v>85070.234890000007</v>
      </c>
      <c r="F987">
        <v>76591.852920000005</v>
      </c>
      <c r="G987">
        <v>2108</v>
      </c>
      <c r="H987" s="1">
        <f t="shared" si="125"/>
        <v>40.355898904174573</v>
      </c>
      <c r="I987" s="1" t="str">
        <f t="shared" si="126"/>
        <v>Medium</v>
      </c>
      <c r="J987">
        <f t="shared" si="127"/>
        <v>9.9663319149911445</v>
      </c>
      <c r="K987">
        <f t="shared" si="128"/>
        <v>36.333896072106263</v>
      </c>
      <c r="L987">
        <f t="shared" si="129"/>
        <v>9.9663319149911391</v>
      </c>
    </row>
    <row r="988" spans="1:12" x14ac:dyDescent="0.25">
      <c r="A988" s="3">
        <v>42624</v>
      </c>
      <c r="B988" s="3" t="str">
        <f t="shared" si="122"/>
        <v>Sep</v>
      </c>
      <c r="C988" s="3" t="str">
        <f t="shared" si="123"/>
        <v>2016</v>
      </c>
      <c r="D988" s="3" t="str">
        <f t="shared" si="124"/>
        <v>Sunday</v>
      </c>
      <c r="E988">
        <v>48831.666109999998</v>
      </c>
      <c r="F988">
        <v>44014.232020000003</v>
      </c>
      <c r="G988">
        <v>1211</v>
      </c>
      <c r="H988" s="1">
        <f t="shared" si="125"/>
        <v>40.323423707679602</v>
      </c>
      <c r="I988" s="1" t="str">
        <f t="shared" si="126"/>
        <v>Low</v>
      </c>
      <c r="J988">
        <f t="shared" si="127"/>
        <v>9.8653895592013328</v>
      </c>
      <c r="K988">
        <f t="shared" si="128"/>
        <v>36.345360875309666</v>
      </c>
      <c r="L988">
        <f t="shared" si="129"/>
        <v>9.8653895592013257</v>
      </c>
    </row>
    <row r="989" spans="1:12" x14ac:dyDescent="0.25">
      <c r="A989" s="3">
        <v>42625</v>
      </c>
      <c r="B989" s="3" t="str">
        <f t="shared" si="122"/>
        <v>Sep</v>
      </c>
      <c r="C989" s="3" t="str">
        <f t="shared" si="123"/>
        <v>2016</v>
      </c>
      <c r="D989" s="3" t="str">
        <f t="shared" si="124"/>
        <v>Monday</v>
      </c>
      <c r="E989">
        <v>52075.157180000002</v>
      </c>
      <c r="F989">
        <v>46884.142509999998</v>
      </c>
      <c r="G989">
        <v>1291</v>
      </c>
      <c r="H989" s="1">
        <f t="shared" si="125"/>
        <v>40.33706985282727</v>
      </c>
      <c r="I989" s="1" t="str">
        <f t="shared" si="126"/>
        <v>Low</v>
      </c>
      <c r="J989">
        <f t="shared" si="127"/>
        <v>9.9683130135489382</v>
      </c>
      <c r="K989">
        <f t="shared" si="128"/>
        <v>36.316144469403561</v>
      </c>
      <c r="L989">
        <f t="shared" si="129"/>
        <v>9.9683130135489453</v>
      </c>
    </row>
    <row r="990" spans="1:12" x14ac:dyDescent="0.25">
      <c r="A990" s="3">
        <v>42626</v>
      </c>
      <c r="B990" s="3" t="str">
        <f t="shared" si="122"/>
        <v>Sep</v>
      </c>
      <c r="C990" s="3" t="str">
        <f t="shared" si="123"/>
        <v>2016</v>
      </c>
      <c r="D990" s="3" t="str">
        <f t="shared" si="124"/>
        <v>Tuesday</v>
      </c>
      <c r="E990">
        <v>30424.726259999999</v>
      </c>
      <c r="F990">
        <v>27398.58813</v>
      </c>
      <c r="G990">
        <v>755</v>
      </c>
      <c r="H990" s="1">
        <f t="shared" si="125"/>
        <v>40.297650675496691</v>
      </c>
      <c r="I990" s="1" t="str">
        <f t="shared" si="126"/>
        <v>Low</v>
      </c>
      <c r="J990">
        <f t="shared" si="127"/>
        <v>9.9463117733240676</v>
      </c>
      <c r="K990">
        <f t="shared" si="128"/>
        <v>36.289520701986753</v>
      </c>
      <c r="L990">
        <f t="shared" si="129"/>
        <v>9.94631177332408</v>
      </c>
    </row>
    <row r="991" spans="1:12" x14ac:dyDescent="0.25">
      <c r="A991" s="3">
        <v>42627</v>
      </c>
      <c r="B991" s="3" t="str">
        <f t="shared" si="122"/>
        <v>Sep</v>
      </c>
      <c r="C991" s="3" t="str">
        <f t="shared" si="123"/>
        <v>2016</v>
      </c>
      <c r="D991" s="3" t="str">
        <f t="shared" si="124"/>
        <v>Wednesday</v>
      </c>
      <c r="E991">
        <v>20495.11303</v>
      </c>
      <c r="F991">
        <v>18375.052609999999</v>
      </c>
      <c r="G991">
        <v>508</v>
      </c>
      <c r="H991" s="1">
        <f t="shared" si="125"/>
        <v>40.344710688976377</v>
      </c>
      <c r="I991" s="1" t="str">
        <f t="shared" si="126"/>
        <v>Medium</v>
      </c>
      <c r="J991">
        <f t="shared" si="127"/>
        <v>10.344224093308167</v>
      </c>
      <c r="K991">
        <f t="shared" si="128"/>
        <v>36.171363405511812</v>
      </c>
      <c r="L991">
        <f t="shared" si="129"/>
        <v>10.344224093308156</v>
      </c>
    </row>
    <row r="992" spans="1:12" x14ac:dyDescent="0.25">
      <c r="A992" s="3">
        <v>42628</v>
      </c>
      <c r="B992" s="3" t="str">
        <f t="shared" si="122"/>
        <v>Sep</v>
      </c>
      <c r="C992" s="3" t="str">
        <f t="shared" si="123"/>
        <v>2016</v>
      </c>
      <c r="D992" s="3" t="str">
        <f t="shared" si="124"/>
        <v>Thursday</v>
      </c>
      <c r="E992">
        <v>40742.171679999999</v>
      </c>
      <c r="F992">
        <v>36464.759810000003</v>
      </c>
      <c r="G992">
        <v>1010</v>
      </c>
      <c r="H992" s="1">
        <f t="shared" si="125"/>
        <v>40.33878384158416</v>
      </c>
      <c r="I992" s="1" t="str">
        <f t="shared" si="126"/>
        <v>Medium</v>
      </c>
      <c r="J992">
        <f t="shared" si="127"/>
        <v>10.498733115151403</v>
      </c>
      <c r="K992">
        <f t="shared" si="128"/>
        <v>36.103722584158419</v>
      </c>
      <c r="L992">
        <f t="shared" si="129"/>
        <v>10.498733115151406</v>
      </c>
    </row>
    <row r="993" spans="1:12" x14ac:dyDescent="0.25">
      <c r="A993" s="3">
        <v>42629</v>
      </c>
      <c r="B993" s="3" t="str">
        <f t="shared" si="122"/>
        <v>Sep</v>
      </c>
      <c r="C993" s="3" t="str">
        <f t="shared" si="123"/>
        <v>2016</v>
      </c>
      <c r="D993" s="3" t="str">
        <f t="shared" si="124"/>
        <v>Friday</v>
      </c>
      <c r="E993">
        <v>69864.836989999996</v>
      </c>
      <c r="F993">
        <v>62545.19068</v>
      </c>
      <c r="G993">
        <v>1733</v>
      </c>
      <c r="H993" s="1">
        <f t="shared" si="125"/>
        <v>40.31438949221004</v>
      </c>
      <c r="I993" s="1" t="str">
        <f t="shared" si="126"/>
        <v>Low</v>
      </c>
      <c r="J993">
        <f t="shared" si="127"/>
        <v>10.476867370416514</v>
      </c>
      <c r="K993">
        <f t="shared" si="128"/>
        <v>36.090704373918058</v>
      </c>
      <c r="L993">
        <f t="shared" si="129"/>
        <v>10.476867370416526</v>
      </c>
    </row>
    <row r="994" spans="1:12" x14ac:dyDescent="0.25">
      <c r="A994" s="3">
        <v>42630</v>
      </c>
      <c r="B994" s="3" t="str">
        <f t="shared" si="122"/>
        <v>Sep</v>
      </c>
      <c r="C994" s="3" t="str">
        <f t="shared" si="123"/>
        <v>2016</v>
      </c>
      <c r="D994" s="3" t="str">
        <f t="shared" si="124"/>
        <v>Saturday</v>
      </c>
      <c r="E994">
        <v>100120.7111</v>
      </c>
      <c r="F994">
        <v>89572.407619999998</v>
      </c>
      <c r="G994">
        <v>2482</v>
      </c>
      <c r="H994" s="1">
        <f t="shared" si="125"/>
        <v>40.338723247381147</v>
      </c>
      <c r="I994" s="1" t="str">
        <f t="shared" si="126"/>
        <v>Low</v>
      </c>
      <c r="J994">
        <f t="shared" si="127"/>
        <v>10.535585858418861</v>
      </c>
      <c r="K994">
        <f t="shared" si="128"/>
        <v>36.088802425463335</v>
      </c>
      <c r="L994">
        <f t="shared" si="129"/>
        <v>10.535585858418866</v>
      </c>
    </row>
    <row r="995" spans="1:12" x14ac:dyDescent="0.25">
      <c r="A995" s="3">
        <v>42631</v>
      </c>
      <c r="B995" s="3" t="str">
        <f t="shared" si="122"/>
        <v>Sep</v>
      </c>
      <c r="C995" s="3" t="str">
        <f t="shared" si="123"/>
        <v>2016</v>
      </c>
      <c r="D995" s="3" t="str">
        <f t="shared" si="124"/>
        <v>Sunday</v>
      </c>
      <c r="E995">
        <v>49825.097040000001</v>
      </c>
      <c r="F995">
        <v>44593.796880000002</v>
      </c>
      <c r="G995">
        <v>1235</v>
      </c>
      <c r="H995" s="1">
        <f t="shared" si="125"/>
        <v>40.344208129554659</v>
      </c>
      <c r="I995" s="1" t="str">
        <f t="shared" si="126"/>
        <v>Low</v>
      </c>
      <c r="J995">
        <f t="shared" si="127"/>
        <v>10.49932758946815</v>
      </c>
      <c r="K995">
        <f t="shared" si="128"/>
        <v>36.108337554655868</v>
      </c>
      <c r="L995">
        <f t="shared" si="129"/>
        <v>10.499327589468164</v>
      </c>
    </row>
    <row r="996" spans="1:12" x14ac:dyDescent="0.25">
      <c r="A996" s="3">
        <v>42632</v>
      </c>
      <c r="B996" s="3" t="str">
        <f t="shared" si="122"/>
        <v>Sep</v>
      </c>
      <c r="C996" s="3" t="str">
        <f t="shared" si="123"/>
        <v>2016</v>
      </c>
      <c r="D996" s="3" t="str">
        <f t="shared" si="124"/>
        <v>Monday</v>
      </c>
      <c r="E996">
        <v>46566.462050000002</v>
      </c>
      <c r="F996">
        <v>41660.440430000002</v>
      </c>
      <c r="G996">
        <v>1155</v>
      </c>
      <c r="H996" s="1">
        <f t="shared" si="125"/>
        <v>40.317283160173162</v>
      </c>
      <c r="I996" s="1" t="str">
        <f t="shared" si="126"/>
        <v>Low</v>
      </c>
      <c r="J996">
        <f t="shared" si="127"/>
        <v>10.535525792645007</v>
      </c>
      <c r="K996">
        <f t="shared" si="128"/>
        <v>36.069645393939396</v>
      </c>
      <c r="L996">
        <f t="shared" si="129"/>
        <v>10.535525792645007</v>
      </c>
    </row>
    <row r="997" spans="1:12" x14ac:dyDescent="0.25">
      <c r="A997" s="3">
        <v>42633</v>
      </c>
      <c r="B997" s="3" t="str">
        <f t="shared" si="122"/>
        <v>Sep</v>
      </c>
      <c r="C997" s="3" t="str">
        <f t="shared" si="123"/>
        <v>2016</v>
      </c>
      <c r="D997" s="3" t="str">
        <f t="shared" si="124"/>
        <v>Tuesday</v>
      </c>
      <c r="E997">
        <v>37923.76586</v>
      </c>
      <c r="F997">
        <v>34031.149490000003</v>
      </c>
      <c r="G997">
        <v>940</v>
      </c>
      <c r="H997" s="1">
        <f t="shared" si="125"/>
        <v>40.344431765957445</v>
      </c>
      <c r="I997" s="1" t="str">
        <f t="shared" si="126"/>
        <v>Low</v>
      </c>
      <c r="J997">
        <f t="shared" si="127"/>
        <v>10.264319172231056</v>
      </c>
      <c r="K997">
        <f t="shared" si="128"/>
        <v>36.203350521276597</v>
      </c>
      <c r="L997">
        <f t="shared" si="129"/>
        <v>10.26431917223106</v>
      </c>
    </row>
    <row r="998" spans="1:12" x14ac:dyDescent="0.25">
      <c r="A998" s="3">
        <v>42634</v>
      </c>
      <c r="B998" s="3" t="str">
        <f t="shared" si="122"/>
        <v>Sep</v>
      </c>
      <c r="C998" s="3" t="str">
        <f t="shared" si="123"/>
        <v>2016</v>
      </c>
      <c r="D998" s="3" t="str">
        <f t="shared" si="124"/>
        <v>Wednesday</v>
      </c>
      <c r="E998">
        <v>50084.812700000002</v>
      </c>
      <c r="F998">
        <v>44832.212599999999</v>
      </c>
      <c r="G998">
        <v>1241</v>
      </c>
      <c r="H998" s="1">
        <f t="shared" si="125"/>
        <v>40.358430862207896</v>
      </c>
      <c r="I998" s="1" t="str">
        <f t="shared" si="126"/>
        <v>Medium</v>
      </c>
      <c r="J998">
        <f t="shared" si="127"/>
        <v>10.487410887332723</v>
      </c>
      <c r="K998">
        <f t="shared" si="128"/>
        <v>36.12587639000806</v>
      </c>
      <c r="L998">
        <f t="shared" si="129"/>
        <v>10.487410887332715</v>
      </c>
    </row>
    <row r="999" spans="1:12" x14ac:dyDescent="0.25">
      <c r="A999" s="3">
        <v>42635</v>
      </c>
      <c r="B999" s="3" t="str">
        <f t="shared" si="122"/>
        <v>Sep</v>
      </c>
      <c r="C999" s="3" t="str">
        <f t="shared" si="123"/>
        <v>2016</v>
      </c>
      <c r="D999" s="3" t="str">
        <f t="shared" si="124"/>
        <v>Thursday</v>
      </c>
      <c r="E999">
        <v>41885.828280000002</v>
      </c>
      <c r="F999">
        <v>37565.478589999999</v>
      </c>
      <c r="G999">
        <v>1039</v>
      </c>
      <c r="H999" s="1">
        <f t="shared" si="125"/>
        <v>40.313597959576519</v>
      </c>
      <c r="I999" s="1" t="str">
        <f t="shared" si="126"/>
        <v>Low</v>
      </c>
      <c r="J999">
        <f t="shared" si="127"/>
        <v>10.314585785720084</v>
      </c>
      <c r="K999">
        <f t="shared" si="128"/>
        <v>36.155417314725696</v>
      </c>
      <c r="L999">
        <f t="shared" si="129"/>
        <v>10.314585785720089</v>
      </c>
    </row>
    <row r="1000" spans="1:12" x14ac:dyDescent="0.25">
      <c r="A1000" s="3">
        <v>42636</v>
      </c>
      <c r="B1000" s="3" t="str">
        <f t="shared" si="122"/>
        <v>Sep</v>
      </c>
      <c r="C1000" s="3" t="str">
        <f t="shared" si="123"/>
        <v>2016</v>
      </c>
      <c r="D1000" s="3" t="str">
        <f t="shared" si="124"/>
        <v>Friday</v>
      </c>
      <c r="E1000">
        <v>147503.57320000001</v>
      </c>
      <c r="F1000">
        <v>131964.51579999999</v>
      </c>
      <c r="G1000">
        <v>3657</v>
      </c>
      <c r="H1000" s="1">
        <f t="shared" si="125"/>
        <v>40.334583866557288</v>
      </c>
      <c r="I1000" s="1" t="str">
        <f t="shared" si="126"/>
        <v>Low</v>
      </c>
      <c r="J1000">
        <f t="shared" si="127"/>
        <v>10.534698965516327</v>
      </c>
      <c r="K1000">
        <f t="shared" si="128"/>
        <v>36.085456877221766</v>
      </c>
      <c r="L1000">
        <f t="shared" si="129"/>
        <v>10.534698965516318</v>
      </c>
    </row>
    <row r="1001" spans="1:12" x14ac:dyDescent="0.25">
      <c r="A1001" s="3">
        <v>42637</v>
      </c>
      <c r="B1001" s="3" t="str">
        <f t="shared" si="122"/>
        <v>Sep</v>
      </c>
      <c r="C1001" s="3" t="str">
        <f t="shared" si="123"/>
        <v>2016</v>
      </c>
      <c r="D1001" s="3" t="str">
        <f t="shared" si="124"/>
        <v>Saturday</v>
      </c>
      <c r="E1001">
        <v>151639.1838</v>
      </c>
      <c r="F1001">
        <v>135498.16320000001</v>
      </c>
      <c r="G1001">
        <v>3758</v>
      </c>
      <c r="H1001" s="1">
        <f t="shared" si="125"/>
        <v>40.351033475252791</v>
      </c>
      <c r="I1001" s="1" t="str">
        <f t="shared" si="126"/>
        <v>Low</v>
      </c>
      <c r="J1001">
        <f t="shared" si="127"/>
        <v>10.644359983689117</v>
      </c>
      <c r="K1001">
        <f t="shared" si="128"/>
        <v>36.055924215007984</v>
      </c>
      <c r="L1001">
        <f t="shared" si="129"/>
        <v>10.644359983689114</v>
      </c>
    </row>
    <row r="1002" spans="1:12" x14ac:dyDescent="0.25">
      <c r="A1002" s="3">
        <v>42638</v>
      </c>
      <c r="B1002" s="3" t="str">
        <f t="shared" si="122"/>
        <v>Sep</v>
      </c>
      <c r="C1002" s="3" t="str">
        <f t="shared" si="123"/>
        <v>2016</v>
      </c>
      <c r="D1002" s="3" t="str">
        <f t="shared" si="124"/>
        <v>Sunday</v>
      </c>
      <c r="E1002">
        <v>72457.297590000002</v>
      </c>
      <c r="F1002">
        <v>64758.50417</v>
      </c>
      <c r="G1002">
        <v>1797</v>
      </c>
      <c r="H1002" s="1">
        <f t="shared" si="125"/>
        <v>40.321256310517533</v>
      </c>
      <c r="I1002" s="1" t="str">
        <f t="shared" si="126"/>
        <v>Low</v>
      </c>
      <c r="J1002">
        <f t="shared" si="127"/>
        <v>10.625283685797482</v>
      </c>
      <c r="K1002">
        <f t="shared" si="128"/>
        <v>36.037008441847526</v>
      </c>
      <c r="L1002">
        <f t="shared" si="129"/>
        <v>10.625283685797484</v>
      </c>
    </row>
    <row r="1003" spans="1:12" x14ac:dyDescent="0.25">
      <c r="A1003" s="3">
        <v>42639</v>
      </c>
      <c r="B1003" s="3" t="str">
        <f t="shared" si="122"/>
        <v>Sep</v>
      </c>
      <c r="C1003" s="3" t="str">
        <f t="shared" si="123"/>
        <v>2016</v>
      </c>
      <c r="D1003" s="3" t="str">
        <f t="shared" si="124"/>
        <v>Monday</v>
      </c>
      <c r="E1003">
        <v>67355.061180000004</v>
      </c>
      <c r="F1003">
        <v>60179.020850000001</v>
      </c>
      <c r="G1003">
        <v>1671</v>
      </c>
      <c r="H1003" s="1">
        <f t="shared" si="125"/>
        <v>40.308235296229803</v>
      </c>
      <c r="I1003" s="1" t="str">
        <f t="shared" si="126"/>
        <v>Low</v>
      </c>
      <c r="J1003">
        <f t="shared" si="127"/>
        <v>10.654047675530599</v>
      </c>
      <c r="K1003">
        <f t="shared" si="128"/>
        <v>36.013776690604431</v>
      </c>
      <c r="L1003">
        <f t="shared" si="129"/>
        <v>10.654047675530592</v>
      </c>
    </row>
    <row r="1004" spans="1:12" x14ac:dyDescent="0.25">
      <c r="A1004" s="3">
        <v>42640</v>
      </c>
      <c r="B1004" s="3" t="str">
        <f t="shared" si="122"/>
        <v>Sep</v>
      </c>
      <c r="C1004" s="3" t="str">
        <f t="shared" si="123"/>
        <v>2016</v>
      </c>
      <c r="D1004" s="3" t="str">
        <f t="shared" si="124"/>
        <v>Tuesday</v>
      </c>
      <c r="E1004">
        <v>58941.792829999999</v>
      </c>
      <c r="F1004">
        <v>52812.782509999997</v>
      </c>
      <c r="G1004">
        <v>1462</v>
      </c>
      <c r="H1004" s="1">
        <f t="shared" si="125"/>
        <v>40.315863768809848</v>
      </c>
      <c r="I1004" s="1" t="str">
        <f t="shared" si="126"/>
        <v>Low</v>
      </c>
      <c r="J1004">
        <f t="shared" si="127"/>
        <v>10.39841176476817</v>
      </c>
      <c r="K1004">
        <f t="shared" si="128"/>
        <v>36.123654247606019</v>
      </c>
      <c r="L1004">
        <f t="shared" si="129"/>
        <v>10.398411764768163</v>
      </c>
    </row>
    <row r="1005" spans="1:12" x14ac:dyDescent="0.25">
      <c r="A1005" s="3">
        <v>42641</v>
      </c>
      <c r="B1005" s="3" t="str">
        <f t="shared" si="122"/>
        <v>Sep</v>
      </c>
      <c r="C1005" s="3" t="str">
        <f t="shared" si="123"/>
        <v>2016</v>
      </c>
      <c r="D1005" s="3" t="str">
        <f t="shared" si="124"/>
        <v>Wednesday</v>
      </c>
      <c r="E1005">
        <v>58796.785020000003</v>
      </c>
      <c r="F1005">
        <v>57168.5605</v>
      </c>
      <c r="G1005">
        <v>1581</v>
      </c>
      <c r="H1005" s="1">
        <f t="shared" si="125"/>
        <v>37.189617343453513</v>
      </c>
      <c r="I1005" s="1" t="str">
        <f t="shared" si="126"/>
        <v>Low</v>
      </c>
      <c r="J1005">
        <f t="shared" si="127"/>
        <v>2.7692407322035635</v>
      </c>
      <c r="K1005">
        <f t="shared" si="128"/>
        <v>36.159747311827957</v>
      </c>
      <c r="L1005">
        <f t="shared" si="129"/>
        <v>2.7692407322035653</v>
      </c>
    </row>
    <row r="1006" spans="1:12" x14ac:dyDescent="0.25">
      <c r="A1006" s="3">
        <v>42642</v>
      </c>
      <c r="B1006" s="3" t="str">
        <f t="shared" si="122"/>
        <v>Sep</v>
      </c>
      <c r="C1006" s="3" t="str">
        <f t="shared" si="123"/>
        <v>2016</v>
      </c>
      <c r="D1006" s="3" t="str">
        <f t="shared" si="124"/>
        <v>Thursday</v>
      </c>
      <c r="E1006">
        <v>57019.389669999997</v>
      </c>
      <c r="F1006">
        <v>55187.383909999997</v>
      </c>
      <c r="G1006">
        <v>1534</v>
      </c>
      <c r="H1006" s="1">
        <f t="shared" si="125"/>
        <v>37.170397438070403</v>
      </c>
      <c r="I1006" s="1" t="str">
        <f t="shared" si="126"/>
        <v>Low</v>
      </c>
      <c r="J1006">
        <f t="shared" si="127"/>
        <v>3.2129522441449168</v>
      </c>
      <c r="K1006">
        <f t="shared" si="128"/>
        <v>35.976130319426332</v>
      </c>
      <c r="L1006">
        <f t="shared" si="129"/>
        <v>3.2129522441449248</v>
      </c>
    </row>
    <row r="1007" spans="1:12" x14ac:dyDescent="0.25">
      <c r="A1007" s="3">
        <v>42643</v>
      </c>
      <c r="B1007" s="3" t="str">
        <f t="shared" si="122"/>
        <v>Sep</v>
      </c>
      <c r="C1007" s="3" t="str">
        <f t="shared" si="123"/>
        <v>2016</v>
      </c>
      <c r="D1007" s="3" t="str">
        <f t="shared" si="124"/>
        <v>Friday</v>
      </c>
      <c r="E1007">
        <v>155918.38260000001</v>
      </c>
      <c r="F1007">
        <v>151036.4455</v>
      </c>
      <c r="G1007">
        <v>4216</v>
      </c>
      <c r="H1007" s="1">
        <f t="shared" si="125"/>
        <v>36.982538567362433</v>
      </c>
      <c r="I1007" s="1" t="str">
        <f t="shared" si="126"/>
        <v>Low</v>
      </c>
      <c r="J1007">
        <f t="shared" si="127"/>
        <v>3.1310850065218734</v>
      </c>
      <c r="K1007">
        <f t="shared" si="128"/>
        <v>35.824583847248576</v>
      </c>
      <c r="L1007">
        <f t="shared" si="129"/>
        <v>3.1310850065218796</v>
      </c>
    </row>
    <row r="1008" spans="1:12" x14ac:dyDescent="0.25">
      <c r="A1008" s="3">
        <v>42644</v>
      </c>
      <c r="B1008" s="3" t="str">
        <f t="shared" si="122"/>
        <v>Oct</v>
      </c>
      <c r="C1008" s="3" t="str">
        <f t="shared" si="123"/>
        <v>2016</v>
      </c>
      <c r="D1008" s="3" t="str">
        <f t="shared" si="124"/>
        <v>Saturday</v>
      </c>
      <c r="E1008">
        <v>208489.09030000001</v>
      </c>
      <c r="F1008">
        <v>201416.8376</v>
      </c>
      <c r="G1008">
        <v>5632</v>
      </c>
      <c r="H1008" s="1">
        <f t="shared" si="125"/>
        <v>37.018659499289775</v>
      </c>
      <c r="I1008" s="1" t="str">
        <f t="shared" si="126"/>
        <v>Low</v>
      </c>
      <c r="J1008">
        <f t="shared" si="127"/>
        <v>3.3921452148040823</v>
      </c>
      <c r="K1008">
        <f t="shared" si="128"/>
        <v>35.762932812499997</v>
      </c>
      <c r="L1008">
        <f t="shared" si="129"/>
        <v>3.3921452148040903</v>
      </c>
    </row>
    <row r="1009" spans="1:12" x14ac:dyDescent="0.25">
      <c r="A1009" s="3">
        <v>42645</v>
      </c>
      <c r="B1009" s="3" t="str">
        <f t="shared" si="122"/>
        <v>Oct</v>
      </c>
      <c r="C1009" s="3" t="str">
        <f t="shared" si="123"/>
        <v>2016</v>
      </c>
      <c r="D1009" s="3" t="str">
        <f t="shared" si="124"/>
        <v>Sunday</v>
      </c>
      <c r="E1009">
        <v>118580.47259999999</v>
      </c>
      <c r="F1009">
        <v>113346.95729999999</v>
      </c>
      <c r="G1009">
        <v>3173</v>
      </c>
      <c r="H1009" s="1">
        <f t="shared" si="125"/>
        <v>37.371721588402139</v>
      </c>
      <c r="I1009" s="1" t="str">
        <f t="shared" si="126"/>
        <v>Low</v>
      </c>
      <c r="J1009">
        <f t="shared" si="127"/>
        <v>4.413471447068595</v>
      </c>
      <c r="K1009">
        <f t="shared" si="128"/>
        <v>35.72233132682004</v>
      </c>
      <c r="L1009">
        <f t="shared" si="129"/>
        <v>4.413471447068595</v>
      </c>
    </row>
    <row r="1010" spans="1:12" x14ac:dyDescent="0.25">
      <c r="A1010" s="3">
        <v>42646</v>
      </c>
      <c r="B1010" s="3" t="str">
        <f t="shared" si="122"/>
        <v>Oct</v>
      </c>
      <c r="C1010" s="3" t="str">
        <f t="shared" si="123"/>
        <v>2016</v>
      </c>
      <c r="D1010" s="3" t="str">
        <f t="shared" si="124"/>
        <v>Monday</v>
      </c>
      <c r="E1010">
        <v>142758.8811</v>
      </c>
      <c r="F1010">
        <v>126506.3447</v>
      </c>
      <c r="G1010">
        <v>3540</v>
      </c>
      <c r="H1010" s="1">
        <f t="shared" si="125"/>
        <v>40.327367542372883</v>
      </c>
      <c r="I1010" s="1" t="str">
        <f t="shared" si="126"/>
        <v>Low</v>
      </c>
      <c r="J1010">
        <f t="shared" si="127"/>
        <v>11.38460617985328</v>
      </c>
      <c r="K1010">
        <f t="shared" si="128"/>
        <v>35.736255564971749</v>
      </c>
      <c r="L1010">
        <f t="shared" si="129"/>
        <v>11.384606179853291</v>
      </c>
    </row>
    <row r="1011" spans="1:12" x14ac:dyDescent="0.25">
      <c r="A1011" s="3">
        <v>42647</v>
      </c>
      <c r="B1011" s="3" t="str">
        <f t="shared" si="122"/>
        <v>Oct</v>
      </c>
      <c r="C1011" s="3" t="str">
        <f t="shared" si="123"/>
        <v>2016</v>
      </c>
      <c r="D1011" s="3" t="str">
        <f t="shared" si="124"/>
        <v>Tuesday</v>
      </c>
      <c r="E1011">
        <v>96620.986929999999</v>
      </c>
      <c r="F1011">
        <v>85491.833240000007</v>
      </c>
      <c r="G1011">
        <v>2397</v>
      </c>
      <c r="H1011" s="1">
        <f t="shared" si="125"/>
        <v>40.309130967876513</v>
      </c>
      <c r="I1011" s="1" t="str">
        <f t="shared" si="126"/>
        <v>Low</v>
      </c>
      <c r="J1011">
        <f t="shared" si="127"/>
        <v>11.51836060012805</v>
      </c>
      <c r="K1011">
        <f t="shared" si="128"/>
        <v>35.666179908218609</v>
      </c>
      <c r="L1011">
        <f t="shared" si="129"/>
        <v>11.518360600128052</v>
      </c>
    </row>
    <row r="1012" spans="1:12" x14ac:dyDescent="0.25">
      <c r="A1012" s="3">
        <v>42648</v>
      </c>
      <c r="B1012" s="3" t="str">
        <f t="shared" si="122"/>
        <v>Oct</v>
      </c>
      <c r="C1012" s="3" t="str">
        <f t="shared" si="123"/>
        <v>2016</v>
      </c>
      <c r="D1012" s="3" t="str">
        <f t="shared" si="124"/>
        <v>Wednesday</v>
      </c>
      <c r="E1012">
        <v>78861.594939999995</v>
      </c>
      <c r="F1012">
        <v>69675.429149999996</v>
      </c>
      <c r="G1012">
        <v>1955</v>
      </c>
      <c r="H1012" s="1">
        <f t="shared" si="125"/>
        <v>40.338411734015345</v>
      </c>
      <c r="I1012" s="1" t="str">
        <f t="shared" si="126"/>
        <v>Low</v>
      </c>
      <c r="J1012">
        <f t="shared" si="127"/>
        <v>11.648465640327309</v>
      </c>
      <c r="K1012">
        <f t="shared" si="128"/>
        <v>35.639605703324804</v>
      </c>
      <c r="L1012">
        <f t="shared" si="129"/>
        <v>11.64846564032732</v>
      </c>
    </row>
    <row r="1013" spans="1:12" x14ac:dyDescent="0.25">
      <c r="A1013" s="3">
        <v>42649</v>
      </c>
      <c r="B1013" s="3" t="str">
        <f t="shared" si="122"/>
        <v>Oct</v>
      </c>
      <c r="C1013" s="3" t="str">
        <f t="shared" si="123"/>
        <v>2016</v>
      </c>
      <c r="D1013" s="3" t="str">
        <f t="shared" si="124"/>
        <v>Thursday</v>
      </c>
      <c r="E1013">
        <v>70279.474390000003</v>
      </c>
      <c r="F1013">
        <v>61976.305789999999</v>
      </c>
      <c r="G1013">
        <v>1740</v>
      </c>
      <c r="H1013" s="1">
        <f t="shared" si="125"/>
        <v>40.390502522988506</v>
      </c>
      <c r="I1013" s="1" t="str">
        <f t="shared" si="126"/>
        <v>Low</v>
      </c>
      <c r="J1013">
        <f t="shared" si="127"/>
        <v>11.814500139718538</v>
      </c>
      <c r="K1013">
        <f t="shared" si="128"/>
        <v>35.618566545977011</v>
      </c>
      <c r="L1013">
        <f t="shared" si="129"/>
        <v>11.814500139718534</v>
      </c>
    </row>
    <row r="1014" spans="1:12" x14ac:dyDescent="0.25">
      <c r="A1014" s="3">
        <v>42650</v>
      </c>
      <c r="B1014" s="3" t="str">
        <f t="shared" si="122"/>
        <v>Oct</v>
      </c>
      <c r="C1014" s="3" t="str">
        <f t="shared" si="123"/>
        <v>2016</v>
      </c>
      <c r="D1014" s="3" t="str">
        <f t="shared" si="124"/>
        <v>Friday</v>
      </c>
      <c r="E1014">
        <v>87748.862890000004</v>
      </c>
      <c r="F1014">
        <v>77446.60944</v>
      </c>
      <c r="G1014">
        <v>2176</v>
      </c>
      <c r="H1014" s="1">
        <f t="shared" si="125"/>
        <v>40.325764195772059</v>
      </c>
      <c r="I1014" s="1" t="str">
        <f t="shared" si="126"/>
        <v>Low</v>
      </c>
      <c r="J1014">
        <f t="shared" si="127"/>
        <v>11.74061191301667</v>
      </c>
      <c r="K1014">
        <f t="shared" si="128"/>
        <v>35.591272720588236</v>
      </c>
      <c r="L1014">
        <f t="shared" si="129"/>
        <v>11.740611913016664</v>
      </c>
    </row>
    <row r="1015" spans="1:12" x14ac:dyDescent="0.25">
      <c r="A1015" s="3">
        <v>42651</v>
      </c>
      <c r="B1015" s="3" t="str">
        <f t="shared" si="122"/>
        <v>Oct</v>
      </c>
      <c r="C1015" s="3" t="str">
        <f t="shared" si="123"/>
        <v>2016</v>
      </c>
      <c r="D1015" s="3" t="str">
        <f t="shared" si="124"/>
        <v>Saturday</v>
      </c>
      <c r="E1015">
        <v>92053.325769999996</v>
      </c>
      <c r="F1015">
        <v>81209.248349999994</v>
      </c>
      <c r="G1015">
        <v>2283</v>
      </c>
      <c r="H1015" s="1">
        <f t="shared" si="125"/>
        <v>40.321211462987293</v>
      </c>
      <c r="I1015" s="1" t="str">
        <f t="shared" si="126"/>
        <v>Low</v>
      </c>
      <c r="J1015">
        <f t="shared" si="127"/>
        <v>11.780212533650865</v>
      </c>
      <c r="K1015">
        <f t="shared" si="128"/>
        <v>35.571287056504595</v>
      </c>
      <c r="L1015">
        <f t="shared" si="129"/>
        <v>11.780212533650865</v>
      </c>
    </row>
    <row r="1016" spans="1:12" x14ac:dyDescent="0.25">
      <c r="A1016" s="3">
        <v>42652</v>
      </c>
      <c r="B1016" s="3" t="str">
        <f t="shared" si="122"/>
        <v>Oct</v>
      </c>
      <c r="C1016" s="3" t="str">
        <f t="shared" si="123"/>
        <v>2016</v>
      </c>
      <c r="D1016" s="3" t="str">
        <f t="shared" si="124"/>
        <v>Sunday</v>
      </c>
      <c r="E1016">
        <v>51751.383249999999</v>
      </c>
      <c r="F1016">
        <v>45607.234100000001</v>
      </c>
      <c r="G1016">
        <v>1284</v>
      </c>
      <c r="H1016" s="1">
        <f t="shared" si="125"/>
        <v>40.304815615264793</v>
      </c>
      <c r="I1016" s="1" t="str">
        <f t="shared" si="126"/>
        <v>Low</v>
      </c>
      <c r="J1016">
        <f t="shared" si="127"/>
        <v>11.872434636807505</v>
      </c>
      <c r="K1016">
        <f t="shared" si="128"/>
        <v>35.519652725856702</v>
      </c>
      <c r="L1016">
        <f t="shared" si="129"/>
        <v>11.87243463680749</v>
      </c>
    </row>
    <row r="1017" spans="1:12" x14ac:dyDescent="0.25">
      <c r="A1017" s="3">
        <v>42653</v>
      </c>
      <c r="B1017" s="3" t="str">
        <f t="shared" si="122"/>
        <v>Oct</v>
      </c>
      <c r="C1017" s="3" t="str">
        <f t="shared" si="123"/>
        <v>2016</v>
      </c>
      <c r="D1017" s="3" t="str">
        <f t="shared" si="124"/>
        <v>Monday</v>
      </c>
      <c r="E1017">
        <v>50934.983189999999</v>
      </c>
      <c r="F1017">
        <v>44983.777300000002</v>
      </c>
      <c r="G1017">
        <v>1263</v>
      </c>
      <c r="H1017" s="1">
        <f t="shared" si="125"/>
        <v>40.328569429928741</v>
      </c>
      <c r="I1017" s="1" t="str">
        <f t="shared" si="126"/>
        <v>Low</v>
      </c>
      <c r="J1017">
        <f t="shared" si="127"/>
        <v>11.683926286577021</v>
      </c>
      <c r="K1017">
        <f t="shared" si="128"/>
        <v>35.616609105304832</v>
      </c>
      <c r="L1017">
        <f t="shared" si="129"/>
        <v>11.683926286577021</v>
      </c>
    </row>
    <row r="1018" spans="1:12" x14ac:dyDescent="0.25">
      <c r="A1018" s="3">
        <v>42654</v>
      </c>
      <c r="B1018" s="3" t="str">
        <f t="shared" si="122"/>
        <v>Oct</v>
      </c>
      <c r="C1018" s="3" t="str">
        <f t="shared" si="123"/>
        <v>2016</v>
      </c>
      <c r="D1018" s="3" t="str">
        <f t="shared" si="124"/>
        <v>Tuesday</v>
      </c>
      <c r="E1018">
        <v>36113.934869999997</v>
      </c>
      <c r="F1018">
        <v>31885.28845</v>
      </c>
      <c r="G1018">
        <v>896</v>
      </c>
      <c r="H1018" s="1">
        <f t="shared" si="125"/>
        <v>40.305730881696427</v>
      </c>
      <c r="I1018" s="1" t="str">
        <f t="shared" si="126"/>
        <v>Low</v>
      </c>
      <c r="J1018">
        <f t="shared" si="127"/>
        <v>11.709182162569475</v>
      </c>
      <c r="K1018">
        <f t="shared" si="128"/>
        <v>35.586259430803572</v>
      </c>
      <c r="L1018">
        <f t="shared" si="129"/>
        <v>11.709182162569475</v>
      </c>
    </row>
    <row r="1019" spans="1:12" x14ac:dyDescent="0.25">
      <c r="A1019" s="3">
        <v>42655</v>
      </c>
      <c r="B1019" s="3" t="str">
        <f t="shared" si="122"/>
        <v>Oct</v>
      </c>
      <c r="C1019" s="3" t="str">
        <f t="shared" si="123"/>
        <v>2016</v>
      </c>
      <c r="D1019" s="3" t="str">
        <f t="shared" si="124"/>
        <v>Wednesday</v>
      </c>
      <c r="E1019">
        <v>31023.359769999999</v>
      </c>
      <c r="F1019">
        <v>27817.642469999999</v>
      </c>
      <c r="G1019">
        <v>768</v>
      </c>
      <c r="H1019" s="1">
        <f t="shared" si="125"/>
        <v>40.394999700520835</v>
      </c>
      <c r="I1019" s="1" t="str">
        <f t="shared" si="126"/>
        <v>Low</v>
      </c>
      <c r="J1019">
        <f t="shared" si="127"/>
        <v>10.333237030954885</v>
      </c>
      <c r="K1019">
        <f t="shared" si="128"/>
        <v>36.220888632812496</v>
      </c>
      <c r="L1019">
        <f t="shared" si="129"/>
        <v>10.333237030954896</v>
      </c>
    </row>
    <row r="1020" spans="1:12" x14ac:dyDescent="0.25">
      <c r="A1020" s="3">
        <v>42656</v>
      </c>
      <c r="B1020" s="3" t="str">
        <f t="shared" si="122"/>
        <v>Oct</v>
      </c>
      <c r="C1020" s="3" t="str">
        <f t="shared" si="123"/>
        <v>2016</v>
      </c>
      <c r="D1020" s="3" t="str">
        <f t="shared" si="124"/>
        <v>Thursday</v>
      </c>
      <c r="E1020">
        <v>22334.212530000001</v>
      </c>
      <c r="F1020">
        <v>19704.093150000001</v>
      </c>
      <c r="G1020">
        <v>521</v>
      </c>
      <c r="H1020" s="1">
        <f t="shared" si="125"/>
        <v>42.867970307101729</v>
      </c>
      <c r="I1020" s="1" t="str">
        <f t="shared" si="126"/>
        <v>Medium</v>
      </c>
      <c r="J1020">
        <f t="shared" si="127"/>
        <v>11.776190346837359</v>
      </c>
      <c r="K1020">
        <f t="shared" si="128"/>
        <v>37.819756525911707</v>
      </c>
      <c r="L1020">
        <f t="shared" si="129"/>
        <v>11.776190346837364</v>
      </c>
    </row>
    <row r="1021" spans="1:12" x14ac:dyDescent="0.25">
      <c r="A1021" s="3">
        <v>42657</v>
      </c>
      <c r="B1021" s="3" t="str">
        <f t="shared" si="122"/>
        <v>Oct</v>
      </c>
      <c r="C1021" s="3" t="str">
        <f t="shared" si="123"/>
        <v>2016</v>
      </c>
      <c r="D1021" s="3" t="str">
        <f t="shared" si="124"/>
        <v>Friday</v>
      </c>
      <c r="E1021">
        <v>69440.928799999994</v>
      </c>
      <c r="F1021">
        <v>62070.751179999999</v>
      </c>
      <c r="G1021">
        <v>1618</v>
      </c>
      <c r="H1021" s="1">
        <f t="shared" si="125"/>
        <v>42.917755747836829</v>
      </c>
      <c r="I1021" s="1" t="str">
        <f t="shared" si="126"/>
        <v>Medium</v>
      </c>
      <c r="J1021">
        <f t="shared" si="127"/>
        <v>10.613593088921926</v>
      </c>
      <c r="K1021">
        <f t="shared" si="128"/>
        <v>38.362639789864026</v>
      </c>
      <c r="L1021">
        <f t="shared" si="129"/>
        <v>10.613593088921926</v>
      </c>
    </row>
    <row r="1022" spans="1:12" x14ac:dyDescent="0.25">
      <c r="A1022" s="3">
        <v>42658</v>
      </c>
      <c r="B1022" s="3" t="str">
        <f t="shared" si="122"/>
        <v>Oct</v>
      </c>
      <c r="C1022" s="3" t="str">
        <f t="shared" si="123"/>
        <v>2016</v>
      </c>
      <c r="D1022" s="3" t="str">
        <f t="shared" si="124"/>
        <v>Saturday</v>
      </c>
      <c r="E1022">
        <v>92159.029790000001</v>
      </c>
      <c r="F1022">
        <v>83371.817020000002</v>
      </c>
      <c r="G1022">
        <v>2147</v>
      </c>
      <c r="H1022" s="1">
        <f t="shared" si="125"/>
        <v>42.924559753143924</v>
      </c>
      <c r="I1022" s="1" t="str">
        <f t="shared" si="126"/>
        <v>Medium</v>
      </c>
      <c r="J1022">
        <f t="shared" si="127"/>
        <v>9.5348364560945953</v>
      </c>
      <c r="K1022">
        <f t="shared" si="128"/>
        <v>38.831773181183046</v>
      </c>
      <c r="L1022">
        <f t="shared" si="129"/>
        <v>9.5348364560946042</v>
      </c>
    </row>
    <row r="1023" spans="1:12" x14ac:dyDescent="0.25">
      <c r="A1023" s="3">
        <v>42659</v>
      </c>
      <c r="B1023" s="3" t="str">
        <f t="shared" si="122"/>
        <v>Oct</v>
      </c>
      <c r="C1023" s="3" t="str">
        <f t="shared" si="123"/>
        <v>2016</v>
      </c>
      <c r="D1023" s="3" t="str">
        <f t="shared" si="124"/>
        <v>Sunday</v>
      </c>
      <c r="E1023">
        <v>57296.287850000001</v>
      </c>
      <c r="F1023">
        <v>52701.294609999997</v>
      </c>
      <c r="G1023">
        <v>1335</v>
      </c>
      <c r="H1023" s="1">
        <f t="shared" si="125"/>
        <v>42.918567677902622</v>
      </c>
      <c r="I1023" s="1" t="str">
        <f t="shared" si="126"/>
        <v>Medium</v>
      </c>
      <c r="J1023">
        <f t="shared" si="127"/>
        <v>8.0197049624393841</v>
      </c>
      <c r="K1023">
        <f t="shared" si="128"/>
        <v>39.476625176029962</v>
      </c>
      <c r="L1023">
        <f t="shared" si="129"/>
        <v>8.0197049624393788</v>
      </c>
    </row>
    <row r="1024" spans="1:12" x14ac:dyDescent="0.25">
      <c r="A1024" s="3">
        <v>42660</v>
      </c>
      <c r="B1024" s="3" t="str">
        <f t="shared" si="122"/>
        <v>Oct</v>
      </c>
      <c r="C1024" s="3" t="str">
        <f t="shared" si="123"/>
        <v>2016</v>
      </c>
      <c r="D1024" s="3" t="str">
        <f t="shared" si="124"/>
        <v>Monday</v>
      </c>
      <c r="E1024">
        <v>57184.941270000003</v>
      </c>
      <c r="F1024">
        <v>51764.93737</v>
      </c>
      <c r="G1024">
        <v>1332</v>
      </c>
      <c r="H1024" s="1">
        <f t="shared" si="125"/>
        <v>42.931637590090091</v>
      </c>
      <c r="I1024" s="1" t="str">
        <f t="shared" si="126"/>
        <v>High</v>
      </c>
      <c r="J1024">
        <f t="shared" si="127"/>
        <v>9.478026521718947</v>
      </c>
      <c r="K1024">
        <f t="shared" si="128"/>
        <v>38.862565593093095</v>
      </c>
      <c r="L1024">
        <f t="shared" si="129"/>
        <v>9.4780265217189381</v>
      </c>
    </row>
    <row r="1025" spans="1:12" x14ac:dyDescent="0.25">
      <c r="A1025" s="3">
        <v>42661</v>
      </c>
      <c r="B1025" s="3" t="str">
        <f t="shared" si="122"/>
        <v>Oct</v>
      </c>
      <c r="C1025" s="3" t="str">
        <f t="shared" si="123"/>
        <v>2016</v>
      </c>
      <c r="D1025" s="3" t="str">
        <f t="shared" si="124"/>
        <v>Tuesday</v>
      </c>
      <c r="E1025">
        <v>40951.10428</v>
      </c>
      <c r="F1025">
        <v>37288.62455</v>
      </c>
      <c r="G1025">
        <v>954</v>
      </c>
      <c r="H1025" s="1">
        <f t="shared" si="125"/>
        <v>42.925685828092242</v>
      </c>
      <c r="I1025" s="1" t="str">
        <f t="shared" si="126"/>
        <v>Medium</v>
      </c>
      <c r="J1025">
        <f t="shared" si="127"/>
        <v>8.9435432679863229</v>
      </c>
      <c r="K1025">
        <f t="shared" si="128"/>
        <v>39.08660854297694</v>
      </c>
      <c r="L1025">
        <f t="shared" si="129"/>
        <v>8.9435432679863212</v>
      </c>
    </row>
    <row r="1026" spans="1:12" x14ac:dyDescent="0.25">
      <c r="A1026" s="3">
        <v>42662</v>
      </c>
      <c r="B1026" s="3" t="str">
        <f t="shared" si="122"/>
        <v>Oct</v>
      </c>
      <c r="C1026" s="3" t="str">
        <f t="shared" si="123"/>
        <v>2016</v>
      </c>
      <c r="D1026" s="3" t="str">
        <f t="shared" si="124"/>
        <v>Wednesday</v>
      </c>
      <c r="E1026">
        <v>37672.447289999996</v>
      </c>
      <c r="F1026">
        <v>33678.459269999999</v>
      </c>
      <c r="G1026">
        <v>877</v>
      </c>
      <c r="H1026" s="1">
        <f t="shared" si="125"/>
        <v>42.956040239452676</v>
      </c>
      <c r="I1026" s="1" t="str">
        <f t="shared" si="126"/>
        <v>High</v>
      </c>
      <c r="J1026">
        <f t="shared" si="127"/>
        <v>10.601880969543982</v>
      </c>
      <c r="K1026">
        <f t="shared" si="128"/>
        <v>38.401891984036489</v>
      </c>
      <c r="L1026">
        <f t="shared" si="129"/>
        <v>10.601880969543979</v>
      </c>
    </row>
    <row r="1027" spans="1:12" x14ac:dyDescent="0.25">
      <c r="A1027" s="3">
        <v>42663</v>
      </c>
      <c r="B1027" s="3" t="str">
        <f t="shared" ref="B1027:B1054" si="130">TEXT(A1027,"mmm")</f>
        <v>Oct</v>
      </c>
      <c r="C1027" s="3" t="str">
        <f t="shared" ref="C1027:C1054" si="131">TEXT(A1027,"yyyy")</f>
        <v>2016</v>
      </c>
      <c r="D1027" s="3" t="str">
        <f t="shared" ref="D1027:D1054" si="132">TEXT(A1027,"dddd")</f>
        <v>Thursday</v>
      </c>
      <c r="E1027">
        <v>38648.137519999997</v>
      </c>
      <c r="F1027">
        <v>35038.06869</v>
      </c>
      <c r="G1027">
        <v>906</v>
      </c>
      <c r="H1027" s="1">
        <f t="shared" ref="H1027:H1054" si="133">E1027/G1027</f>
        <v>42.657988432671075</v>
      </c>
      <c r="I1027" s="1" t="str">
        <f t="shared" ref="I1027:I1054" si="134">IF(H1027&lt;PERCENTILE(H1027:H2079,0.33),"Low", IF(H1027&gt;PERCENTILE(H1027:H2079,0.67),"High","Medium"))</f>
        <v>Low</v>
      </c>
      <c r="J1027">
        <f t="shared" ref="J1027:J1054" si="135">(E1027-F1027)/E1027 *100</f>
        <v>9.3408610651207304</v>
      </c>
      <c r="K1027">
        <f t="shared" ref="K1027:K1054" si="136">F1027/G1027</f>
        <v>38.673364999999997</v>
      </c>
      <c r="L1027">
        <f t="shared" ref="L1027:L1054" si="137">(H1027-K1027)/H1027 *100</f>
        <v>9.3408610651207322</v>
      </c>
    </row>
    <row r="1028" spans="1:12" x14ac:dyDescent="0.25">
      <c r="A1028" s="3">
        <v>42664</v>
      </c>
      <c r="B1028" s="3" t="str">
        <f t="shared" si="130"/>
        <v>Oct</v>
      </c>
      <c r="C1028" s="3" t="str">
        <f t="shared" si="131"/>
        <v>2016</v>
      </c>
      <c r="D1028" s="3" t="str">
        <f t="shared" si="132"/>
        <v>Friday</v>
      </c>
      <c r="E1028">
        <v>96020.545370000007</v>
      </c>
      <c r="F1028">
        <v>86810.277530000007</v>
      </c>
      <c r="G1028">
        <v>2249</v>
      </c>
      <c r="H1028" s="1">
        <f t="shared" si="133"/>
        <v>42.694773397065369</v>
      </c>
      <c r="I1028" s="1" t="str">
        <f t="shared" si="134"/>
        <v>Low</v>
      </c>
      <c r="J1028">
        <f t="shared" si="135"/>
        <v>9.5919761802119403</v>
      </c>
      <c r="K1028">
        <f t="shared" si="136"/>
        <v>38.59950090262339</v>
      </c>
      <c r="L1028">
        <f t="shared" si="137"/>
        <v>9.591976180211951</v>
      </c>
    </row>
    <row r="1029" spans="1:12" x14ac:dyDescent="0.25">
      <c r="A1029" s="3">
        <v>42665</v>
      </c>
      <c r="B1029" s="3" t="str">
        <f t="shared" si="130"/>
        <v>Oct</v>
      </c>
      <c r="C1029" s="3" t="str">
        <f t="shared" si="131"/>
        <v>2016</v>
      </c>
      <c r="D1029" s="3" t="str">
        <f t="shared" si="132"/>
        <v>Saturday</v>
      </c>
      <c r="E1029">
        <v>105662.59420000001</v>
      </c>
      <c r="F1029">
        <v>95930.016510000001</v>
      </c>
      <c r="G1029">
        <v>2472</v>
      </c>
      <c r="H1029" s="1">
        <f t="shared" si="133"/>
        <v>42.743767880258901</v>
      </c>
      <c r="I1029" s="1" t="str">
        <f t="shared" si="134"/>
        <v>Medium</v>
      </c>
      <c r="J1029">
        <f t="shared" si="135"/>
        <v>9.2109963451947934</v>
      </c>
      <c r="K1029">
        <f t="shared" si="136"/>
        <v>38.806640983009707</v>
      </c>
      <c r="L1029">
        <f t="shared" si="137"/>
        <v>9.2109963451947934</v>
      </c>
    </row>
    <row r="1030" spans="1:12" x14ac:dyDescent="0.25">
      <c r="A1030" s="3">
        <v>42666</v>
      </c>
      <c r="B1030" s="3" t="str">
        <f t="shared" si="130"/>
        <v>Oct</v>
      </c>
      <c r="C1030" s="3" t="str">
        <f t="shared" si="131"/>
        <v>2016</v>
      </c>
      <c r="D1030" s="3" t="str">
        <f t="shared" si="132"/>
        <v>Sunday</v>
      </c>
      <c r="E1030">
        <v>54738.483520000002</v>
      </c>
      <c r="F1030">
        <v>49990.519289999997</v>
      </c>
      <c r="G1030">
        <v>1280</v>
      </c>
      <c r="H1030" s="1">
        <f t="shared" si="133"/>
        <v>42.76444025</v>
      </c>
      <c r="I1030" s="1" t="str">
        <f t="shared" si="134"/>
        <v>Medium</v>
      </c>
      <c r="J1030">
        <f t="shared" si="135"/>
        <v>8.6739053124575936</v>
      </c>
      <c r="K1030">
        <f t="shared" si="136"/>
        <v>39.055093195312494</v>
      </c>
      <c r="L1030">
        <f t="shared" si="137"/>
        <v>8.6739053124575989</v>
      </c>
    </row>
    <row r="1031" spans="1:12" x14ac:dyDescent="0.25">
      <c r="A1031" s="3">
        <v>42667</v>
      </c>
      <c r="B1031" s="3" t="str">
        <f t="shared" si="130"/>
        <v>Oct</v>
      </c>
      <c r="C1031" s="3" t="str">
        <f t="shared" si="131"/>
        <v>2016</v>
      </c>
      <c r="D1031" s="3" t="str">
        <f t="shared" si="132"/>
        <v>Monday</v>
      </c>
      <c r="E1031">
        <v>40131.573510000002</v>
      </c>
      <c r="F1031">
        <v>36347.69872</v>
      </c>
      <c r="G1031">
        <v>940</v>
      </c>
      <c r="H1031" s="1">
        <f t="shared" si="133"/>
        <v>42.693163308510641</v>
      </c>
      <c r="I1031" s="1" t="str">
        <f t="shared" si="134"/>
        <v>Low</v>
      </c>
      <c r="J1031">
        <f t="shared" si="135"/>
        <v>9.4286728853458346</v>
      </c>
      <c r="K1031">
        <f t="shared" si="136"/>
        <v>38.667764595744679</v>
      </c>
      <c r="L1031">
        <f t="shared" si="137"/>
        <v>9.4286728853458435</v>
      </c>
    </row>
    <row r="1032" spans="1:12" x14ac:dyDescent="0.25">
      <c r="A1032" s="3">
        <v>42668</v>
      </c>
      <c r="B1032" s="3" t="str">
        <f t="shared" si="130"/>
        <v>Oct</v>
      </c>
      <c r="C1032" s="3" t="str">
        <f t="shared" si="131"/>
        <v>2016</v>
      </c>
      <c r="D1032" s="3" t="str">
        <f t="shared" si="132"/>
        <v>Tuesday</v>
      </c>
      <c r="E1032">
        <v>70402.991930000004</v>
      </c>
      <c r="F1032">
        <v>63452.761039999998</v>
      </c>
      <c r="G1032">
        <v>1650</v>
      </c>
      <c r="H1032" s="1">
        <f t="shared" si="133"/>
        <v>42.668479957575762</v>
      </c>
      <c r="I1032" s="1" t="str">
        <f t="shared" si="134"/>
        <v>Low</v>
      </c>
      <c r="J1032">
        <f t="shared" si="135"/>
        <v>9.8720675066060437</v>
      </c>
      <c r="K1032">
        <f t="shared" si="136"/>
        <v>38.456218812121207</v>
      </c>
      <c r="L1032">
        <f t="shared" si="137"/>
        <v>9.8720675066060561</v>
      </c>
    </row>
    <row r="1033" spans="1:12" x14ac:dyDescent="0.25">
      <c r="A1033" s="3">
        <v>42669</v>
      </c>
      <c r="B1033" s="3" t="str">
        <f t="shared" si="130"/>
        <v>Oct</v>
      </c>
      <c r="C1033" s="3" t="str">
        <f t="shared" si="131"/>
        <v>2016</v>
      </c>
      <c r="D1033" s="3" t="str">
        <f t="shared" si="132"/>
        <v>Wednesday</v>
      </c>
      <c r="E1033">
        <v>62501.740700000002</v>
      </c>
      <c r="F1033">
        <v>56100.87429</v>
      </c>
      <c r="G1033">
        <v>1467</v>
      </c>
      <c r="H1033" s="1">
        <f t="shared" si="133"/>
        <v>42.605140218132242</v>
      </c>
      <c r="I1033" s="1" t="str">
        <f t="shared" si="134"/>
        <v>Low</v>
      </c>
      <c r="J1033">
        <f t="shared" si="135"/>
        <v>10.241101029047023</v>
      </c>
      <c r="K1033">
        <f t="shared" si="136"/>
        <v>38.241904764826174</v>
      </c>
      <c r="L1033">
        <f t="shared" si="137"/>
        <v>10.241101029047023</v>
      </c>
    </row>
    <row r="1034" spans="1:12" x14ac:dyDescent="0.25">
      <c r="A1034" s="3">
        <v>42670</v>
      </c>
      <c r="B1034" s="3" t="str">
        <f t="shared" si="130"/>
        <v>Oct</v>
      </c>
      <c r="C1034" s="3" t="str">
        <f t="shared" si="131"/>
        <v>2016</v>
      </c>
      <c r="D1034" s="3" t="str">
        <f t="shared" si="132"/>
        <v>Thursday</v>
      </c>
      <c r="E1034">
        <v>53675.218280000001</v>
      </c>
      <c r="F1034">
        <v>48201.940979999999</v>
      </c>
      <c r="G1034">
        <v>1257</v>
      </c>
      <c r="H1034" s="1">
        <f t="shared" si="133"/>
        <v>42.701048750994431</v>
      </c>
      <c r="I1034" s="1" t="str">
        <f t="shared" si="134"/>
        <v>Low</v>
      </c>
      <c r="J1034">
        <f t="shared" si="135"/>
        <v>10.197028489848559</v>
      </c>
      <c r="K1034">
        <f t="shared" si="136"/>
        <v>38.346810644391411</v>
      </c>
      <c r="L1034">
        <f t="shared" si="137"/>
        <v>10.197028489848549</v>
      </c>
    </row>
    <row r="1035" spans="1:12" x14ac:dyDescent="0.25">
      <c r="A1035" s="3">
        <v>42671</v>
      </c>
      <c r="B1035" s="3" t="str">
        <f t="shared" si="130"/>
        <v>Oct</v>
      </c>
      <c r="C1035" s="3" t="str">
        <f t="shared" si="131"/>
        <v>2016</v>
      </c>
      <c r="D1035" s="3" t="str">
        <f t="shared" si="132"/>
        <v>Friday</v>
      </c>
      <c r="E1035">
        <v>102606.327</v>
      </c>
      <c r="F1035">
        <v>92657.699529999998</v>
      </c>
      <c r="G1035">
        <v>2405</v>
      </c>
      <c r="H1035" s="1">
        <f t="shared" si="133"/>
        <v>42.663753430353431</v>
      </c>
      <c r="I1035" s="1" t="str">
        <f t="shared" si="134"/>
        <v>Low</v>
      </c>
      <c r="J1035">
        <f t="shared" si="135"/>
        <v>9.6959200868772992</v>
      </c>
      <c r="K1035">
        <f t="shared" si="136"/>
        <v>38.527109991683993</v>
      </c>
      <c r="L1035">
        <f t="shared" si="137"/>
        <v>9.6959200868772921</v>
      </c>
    </row>
    <row r="1036" spans="1:12" x14ac:dyDescent="0.25">
      <c r="A1036" s="3">
        <v>42672</v>
      </c>
      <c r="B1036" s="3" t="str">
        <f t="shared" si="130"/>
        <v>Oct</v>
      </c>
      <c r="C1036" s="3" t="str">
        <f t="shared" si="131"/>
        <v>2016</v>
      </c>
      <c r="D1036" s="3" t="str">
        <f t="shared" si="132"/>
        <v>Saturday</v>
      </c>
      <c r="E1036">
        <v>124988.15549999999</v>
      </c>
      <c r="F1036">
        <v>113187.84600000001</v>
      </c>
      <c r="G1036">
        <v>2929</v>
      </c>
      <c r="H1036" s="1">
        <f t="shared" si="133"/>
        <v>42.672637589621026</v>
      </c>
      <c r="I1036" s="1" t="str">
        <f t="shared" si="134"/>
        <v>Low</v>
      </c>
      <c r="J1036">
        <f t="shared" si="135"/>
        <v>9.4411422048707561</v>
      </c>
      <c r="K1036">
        <f t="shared" si="136"/>
        <v>38.643853192215772</v>
      </c>
      <c r="L1036">
        <f t="shared" si="137"/>
        <v>9.4411422048707561</v>
      </c>
    </row>
    <row r="1037" spans="1:12" x14ac:dyDescent="0.25">
      <c r="A1037" s="3">
        <v>42673</v>
      </c>
      <c r="B1037" s="3" t="str">
        <f t="shared" si="130"/>
        <v>Oct</v>
      </c>
      <c r="C1037" s="3" t="str">
        <f t="shared" si="131"/>
        <v>2016</v>
      </c>
      <c r="D1037" s="3" t="str">
        <f t="shared" si="132"/>
        <v>Sunday</v>
      </c>
      <c r="E1037">
        <v>67521.037490000002</v>
      </c>
      <c r="F1037">
        <v>61233.718869999997</v>
      </c>
      <c r="G1037">
        <v>1582</v>
      </c>
      <c r="H1037" s="1">
        <f t="shared" si="133"/>
        <v>42.680807515802783</v>
      </c>
      <c r="I1037" s="1" t="str">
        <f t="shared" si="134"/>
        <v>Low</v>
      </c>
      <c r="J1037">
        <f t="shared" si="135"/>
        <v>9.3116439760440137</v>
      </c>
      <c r="K1037">
        <f t="shared" si="136"/>
        <v>38.706522673830591</v>
      </c>
      <c r="L1037">
        <f t="shared" si="137"/>
        <v>9.3116439760440173</v>
      </c>
    </row>
    <row r="1038" spans="1:12" x14ac:dyDescent="0.25">
      <c r="A1038" s="3">
        <v>42674</v>
      </c>
      <c r="B1038" s="3" t="str">
        <f t="shared" si="130"/>
        <v>Oct</v>
      </c>
      <c r="C1038" s="3" t="str">
        <f t="shared" si="131"/>
        <v>2016</v>
      </c>
      <c r="D1038" s="3" t="str">
        <f t="shared" si="132"/>
        <v>Monday</v>
      </c>
      <c r="E1038">
        <v>70020.596009999994</v>
      </c>
      <c r="F1038">
        <v>62316.151339999997</v>
      </c>
      <c r="G1038">
        <v>1639</v>
      </c>
      <c r="H1038" s="1">
        <f t="shared" si="133"/>
        <v>42.721535088468578</v>
      </c>
      <c r="I1038" s="1" t="str">
        <f t="shared" si="134"/>
        <v>Low</v>
      </c>
      <c r="J1038">
        <f t="shared" si="135"/>
        <v>11.003112097045969</v>
      </c>
      <c r="K1038">
        <f t="shared" si="136"/>
        <v>38.020836693105551</v>
      </c>
      <c r="L1038">
        <f t="shared" si="137"/>
        <v>11.003112097045975</v>
      </c>
    </row>
    <row r="1039" spans="1:12" x14ac:dyDescent="0.25">
      <c r="A1039" s="3">
        <v>42675</v>
      </c>
      <c r="B1039" s="3" t="str">
        <f t="shared" si="130"/>
        <v>Nov</v>
      </c>
      <c r="C1039" s="3" t="str">
        <f t="shared" si="131"/>
        <v>2016</v>
      </c>
      <c r="D1039" s="3" t="str">
        <f t="shared" si="132"/>
        <v>Tuesday</v>
      </c>
      <c r="E1039">
        <v>126954.17019999999</v>
      </c>
      <c r="F1039">
        <v>110698.7429</v>
      </c>
      <c r="G1039">
        <v>2971</v>
      </c>
      <c r="H1039" s="1">
        <f t="shared" si="133"/>
        <v>42.731124267923256</v>
      </c>
      <c r="I1039" s="1" t="str">
        <f t="shared" si="134"/>
        <v>Low</v>
      </c>
      <c r="J1039">
        <f t="shared" si="135"/>
        <v>12.804169626245171</v>
      </c>
      <c r="K1039">
        <f t="shared" si="136"/>
        <v>37.259758633456748</v>
      </c>
      <c r="L1039">
        <f t="shared" si="137"/>
        <v>12.804169626245171</v>
      </c>
    </row>
    <row r="1040" spans="1:12" x14ac:dyDescent="0.25">
      <c r="A1040" s="3">
        <v>42676</v>
      </c>
      <c r="B1040" s="3" t="str">
        <f t="shared" si="130"/>
        <v>Nov</v>
      </c>
      <c r="C1040" s="3" t="str">
        <f t="shared" si="131"/>
        <v>2016</v>
      </c>
      <c r="D1040" s="3" t="str">
        <f t="shared" si="132"/>
        <v>Wednesday</v>
      </c>
      <c r="E1040">
        <v>97558.247050000005</v>
      </c>
      <c r="F1040">
        <v>86203.875199999995</v>
      </c>
      <c r="G1040">
        <v>2284</v>
      </c>
      <c r="H1040" s="1">
        <f t="shared" si="133"/>
        <v>42.713768410683016</v>
      </c>
      <c r="I1040" s="1" t="str">
        <f t="shared" si="134"/>
        <v>Low</v>
      </c>
      <c r="J1040">
        <f t="shared" si="135"/>
        <v>11.638556650347285</v>
      </c>
      <c r="K1040">
        <f t="shared" si="136"/>
        <v>37.742502276707526</v>
      </c>
      <c r="L1040">
        <f t="shared" si="137"/>
        <v>11.638556650347295</v>
      </c>
    </row>
    <row r="1041" spans="1:12" x14ac:dyDescent="0.25">
      <c r="A1041" s="3">
        <v>42677</v>
      </c>
      <c r="B1041" s="3" t="str">
        <f t="shared" si="130"/>
        <v>Nov</v>
      </c>
      <c r="C1041" s="3" t="str">
        <f t="shared" si="131"/>
        <v>2016</v>
      </c>
      <c r="D1041" s="3" t="str">
        <f t="shared" si="132"/>
        <v>Thursday</v>
      </c>
      <c r="E1041">
        <v>97039.009869999994</v>
      </c>
      <c r="F1041">
        <v>89413.415970000002</v>
      </c>
      <c r="G1041">
        <v>2266</v>
      </c>
      <c r="H1041" s="1">
        <f t="shared" si="133"/>
        <v>42.823923155339806</v>
      </c>
      <c r="I1041" s="1" t="str">
        <f t="shared" si="134"/>
        <v>Low</v>
      </c>
      <c r="J1041">
        <f t="shared" si="135"/>
        <v>7.8582766973980398</v>
      </c>
      <c r="K1041">
        <f t="shared" si="136"/>
        <v>39.458700781112093</v>
      </c>
      <c r="L1041">
        <f t="shared" si="137"/>
        <v>7.8582766973980434</v>
      </c>
    </row>
    <row r="1042" spans="1:12" x14ac:dyDescent="0.25">
      <c r="A1042" s="3">
        <v>42678</v>
      </c>
      <c r="B1042" s="3" t="str">
        <f t="shared" si="130"/>
        <v>Nov</v>
      </c>
      <c r="C1042" s="3" t="str">
        <f t="shared" si="131"/>
        <v>2016</v>
      </c>
      <c r="D1042" s="3" t="str">
        <f t="shared" si="132"/>
        <v>Friday</v>
      </c>
      <c r="E1042">
        <v>168349.2653</v>
      </c>
      <c r="F1042">
        <v>156675.5901</v>
      </c>
      <c r="G1042">
        <v>3938</v>
      </c>
      <c r="H1042" s="1">
        <f t="shared" si="133"/>
        <v>42.749940401218893</v>
      </c>
      <c r="I1042" s="1" t="str">
        <f t="shared" si="134"/>
        <v>Low</v>
      </c>
      <c r="J1042">
        <f t="shared" si="135"/>
        <v>6.934200264668454</v>
      </c>
      <c r="K1042">
        <f t="shared" si="136"/>
        <v>39.785573920771967</v>
      </c>
      <c r="L1042">
        <f t="shared" si="137"/>
        <v>6.934200264668454</v>
      </c>
    </row>
    <row r="1043" spans="1:12" x14ac:dyDescent="0.25">
      <c r="A1043" s="3">
        <v>42679</v>
      </c>
      <c r="B1043" s="3" t="str">
        <f t="shared" si="130"/>
        <v>Nov</v>
      </c>
      <c r="C1043" s="3" t="str">
        <f t="shared" si="131"/>
        <v>2016</v>
      </c>
      <c r="D1043" s="3" t="str">
        <f t="shared" si="132"/>
        <v>Saturday</v>
      </c>
      <c r="E1043">
        <v>202017.42199999999</v>
      </c>
      <c r="F1043">
        <v>189394.6937</v>
      </c>
      <c r="G1043">
        <v>4720</v>
      </c>
      <c r="H1043" s="1">
        <f t="shared" si="133"/>
        <v>42.800301271186441</v>
      </c>
      <c r="I1043" s="1" t="str">
        <f t="shared" si="134"/>
        <v>Low</v>
      </c>
      <c r="J1043">
        <f t="shared" si="135"/>
        <v>6.2483364924833005</v>
      </c>
      <c r="K1043">
        <f t="shared" si="136"/>
        <v>40.125994427966106</v>
      </c>
      <c r="L1043">
        <f t="shared" si="137"/>
        <v>6.2483364924832996</v>
      </c>
    </row>
    <row r="1044" spans="1:12" x14ac:dyDescent="0.25">
      <c r="A1044" s="3">
        <v>42680</v>
      </c>
      <c r="B1044" s="3" t="str">
        <f t="shared" si="130"/>
        <v>Nov</v>
      </c>
      <c r="C1044" s="3" t="str">
        <f t="shared" si="131"/>
        <v>2016</v>
      </c>
      <c r="D1044" s="3" t="str">
        <f t="shared" si="132"/>
        <v>Sunday</v>
      </c>
      <c r="E1044">
        <v>108459.0001</v>
      </c>
      <c r="F1044">
        <v>102250.1678</v>
      </c>
      <c r="G1044">
        <v>2537</v>
      </c>
      <c r="H1044" s="1">
        <f t="shared" si="133"/>
        <v>42.750886913677576</v>
      </c>
      <c r="I1044" s="1" t="str">
        <f t="shared" si="134"/>
        <v>Low</v>
      </c>
      <c r="J1044">
        <f t="shared" si="135"/>
        <v>5.7245892865280146</v>
      </c>
      <c r="K1044">
        <f t="shared" si="136"/>
        <v>40.30357422152148</v>
      </c>
      <c r="L1044">
        <f t="shared" si="137"/>
        <v>5.7245892865280208</v>
      </c>
    </row>
    <row r="1045" spans="1:12" x14ac:dyDescent="0.25">
      <c r="A1045" s="3">
        <v>42681</v>
      </c>
      <c r="B1045" s="3" t="str">
        <f t="shared" si="130"/>
        <v>Nov</v>
      </c>
      <c r="C1045" s="3" t="str">
        <f t="shared" si="131"/>
        <v>2016</v>
      </c>
      <c r="D1045" s="3" t="str">
        <f t="shared" si="132"/>
        <v>Monday</v>
      </c>
      <c r="E1045">
        <v>112536.3771</v>
      </c>
      <c r="F1045">
        <v>105978.4825</v>
      </c>
      <c r="G1045">
        <v>2621</v>
      </c>
      <c r="H1045" s="1">
        <f t="shared" si="133"/>
        <v>42.936427737504765</v>
      </c>
      <c r="I1045" s="1" t="str">
        <f t="shared" si="134"/>
        <v>Medium</v>
      </c>
      <c r="J1045">
        <f t="shared" si="135"/>
        <v>5.8273553574349064</v>
      </c>
      <c r="K1045">
        <f t="shared" si="136"/>
        <v>40.434369515452119</v>
      </c>
      <c r="L1045">
        <f t="shared" si="137"/>
        <v>5.8273553574348957</v>
      </c>
    </row>
    <row r="1046" spans="1:12" x14ac:dyDescent="0.25">
      <c r="A1046" s="3">
        <v>42682</v>
      </c>
      <c r="B1046" s="3" t="str">
        <f t="shared" si="130"/>
        <v>Nov</v>
      </c>
      <c r="C1046" s="3" t="str">
        <f t="shared" si="131"/>
        <v>2016</v>
      </c>
      <c r="D1046" s="3" t="str">
        <f t="shared" si="132"/>
        <v>Tuesday</v>
      </c>
      <c r="E1046">
        <v>100479.93</v>
      </c>
      <c r="F1046">
        <v>94692.479290000003</v>
      </c>
      <c r="G1046">
        <v>2341</v>
      </c>
      <c r="H1046" s="1">
        <f t="shared" si="133"/>
        <v>42.921798376762062</v>
      </c>
      <c r="I1046" s="1" t="str">
        <f t="shared" si="134"/>
        <v>Low</v>
      </c>
      <c r="J1046">
        <f t="shared" si="135"/>
        <v>5.7598076650730059</v>
      </c>
      <c r="K1046">
        <f t="shared" si="136"/>
        <v>40.44958534387014</v>
      </c>
      <c r="L1046">
        <f t="shared" si="137"/>
        <v>5.759807665073005</v>
      </c>
    </row>
    <row r="1047" spans="1:12" x14ac:dyDescent="0.25">
      <c r="A1047" s="3">
        <v>42683</v>
      </c>
      <c r="B1047" s="3" t="str">
        <f t="shared" si="130"/>
        <v>Nov</v>
      </c>
      <c r="C1047" s="3" t="str">
        <f t="shared" si="131"/>
        <v>2016</v>
      </c>
      <c r="D1047" s="3" t="str">
        <f t="shared" si="132"/>
        <v>Wednesday</v>
      </c>
      <c r="E1047">
        <v>81649.688670000003</v>
      </c>
      <c r="F1047">
        <v>77081.660569999993</v>
      </c>
      <c r="G1047">
        <v>1901</v>
      </c>
      <c r="H1047" s="1">
        <f t="shared" si="133"/>
        <v>42.950914608101002</v>
      </c>
      <c r="I1047" s="1" t="str">
        <f t="shared" si="134"/>
        <v>High</v>
      </c>
      <c r="J1047">
        <f t="shared" si="135"/>
        <v>5.5946668926839527</v>
      </c>
      <c r="K1047">
        <f t="shared" si="136"/>
        <v>40.547954008416617</v>
      </c>
      <c r="L1047">
        <f t="shared" si="137"/>
        <v>5.5946668926839571</v>
      </c>
    </row>
    <row r="1048" spans="1:12" x14ac:dyDescent="0.25">
      <c r="A1048" s="3">
        <v>42684</v>
      </c>
      <c r="B1048" s="3" t="str">
        <f t="shared" si="130"/>
        <v>Nov</v>
      </c>
      <c r="C1048" s="3" t="str">
        <f t="shared" si="131"/>
        <v>2016</v>
      </c>
      <c r="D1048" s="3" t="str">
        <f t="shared" si="132"/>
        <v>Thursday</v>
      </c>
      <c r="E1048">
        <v>71529.162639999995</v>
      </c>
      <c r="F1048">
        <v>67551.250969999994</v>
      </c>
      <c r="G1048">
        <v>1666</v>
      </c>
      <c r="H1048" s="1">
        <f t="shared" si="133"/>
        <v>42.934671452581028</v>
      </c>
      <c r="I1048" s="1" t="str">
        <f t="shared" si="134"/>
        <v>Low</v>
      </c>
      <c r="J1048">
        <f t="shared" si="135"/>
        <v>5.561244565409611</v>
      </c>
      <c r="K1048">
        <f t="shared" si="136"/>
        <v>40.546969369747899</v>
      </c>
      <c r="L1048">
        <f t="shared" si="137"/>
        <v>5.5612445654096003</v>
      </c>
    </row>
    <row r="1049" spans="1:12" x14ac:dyDescent="0.25">
      <c r="A1049" s="3">
        <v>42685</v>
      </c>
      <c r="B1049" s="3" t="str">
        <f t="shared" si="130"/>
        <v>Nov</v>
      </c>
      <c r="C1049" s="3" t="str">
        <f t="shared" si="131"/>
        <v>2016</v>
      </c>
      <c r="D1049" s="3" t="str">
        <f t="shared" si="132"/>
        <v>Friday</v>
      </c>
      <c r="E1049">
        <v>160938.60159999999</v>
      </c>
      <c r="F1049">
        <v>152555.4173</v>
      </c>
      <c r="G1049">
        <v>3748</v>
      </c>
      <c r="H1049" s="1">
        <f t="shared" si="133"/>
        <v>42.939861686232653</v>
      </c>
      <c r="I1049" s="1" t="str">
        <f t="shared" si="134"/>
        <v>Medium</v>
      </c>
      <c r="J1049">
        <f t="shared" si="135"/>
        <v>5.2089332308452185</v>
      </c>
      <c r="K1049">
        <f t="shared" si="136"/>
        <v>40.703152961579512</v>
      </c>
      <c r="L1049">
        <f t="shared" si="137"/>
        <v>5.2089332308452061</v>
      </c>
    </row>
    <row r="1050" spans="1:12" x14ac:dyDescent="0.25">
      <c r="A1050" s="3">
        <v>42686</v>
      </c>
      <c r="B1050" s="3" t="str">
        <f t="shared" si="130"/>
        <v>Nov</v>
      </c>
      <c r="C1050" s="3" t="str">
        <f t="shared" si="131"/>
        <v>2016</v>
      </c>
      <c r="D1050" s="3" t="str">
        <f t="shared" si="132"/>
        <v>Saturday</v>
      </c>
      <c r="E1050">
        <v>164998.84460000001</v>
      </c>
      <c r="F1050">
        <v>156263.1495</v>
      </c>
      <c r="G1050">
        <v>3843</v>
      </c>
      <c r="H1050" s="1">
        <f t="shared" si="133"/>
        <v>42.934906219099666</v>
      </c>
      <c r="I1050" s="1" t="str">
        <f t="shared" si="134"/>
        <v>Low</v>
      </c>
      <c r="J1050">
        <f t="shared" si="135"/>
        <v>5.2943977402857589</v>
      </c>
      <c r="K1050">
        <f t="shared" si="136"/>
        <v>40.661761514441842</v>
      </c>
      <c r="L1050">
        <f t="shared" si="137"/>
        <v>5.2943977402857625</v>
      </c>
    </row>
    <row r="1051" spans="1:12" x14ac:dyDescent="0.25">
      <c r="A1051" s="3">
        <v>42687</v>
      </c>
      <c r="B1051" s="3" t="str">
        <f t="shared" si="130"/>
        <v>Nov</v>
      </c>
      <c r="C1051" s="3" t="str">
        <f t="shared" si="131"/>
        <v>2016</v>
      </c>
      <c r="D1051" s="3" t="str">
        <f t="shared" si="132"/>
        <v>Sunday</v>
      </c>
      <c r="E1051">
        <v>97946.783049999998</v>
      </c>
      <c r="F1051">
        <v>93112.608909999995</v>
      </c>
      <c r="G1051">
        <v>2281</v>
      </c>
      <c r="H1051" s="1">
        <f t="shared" si="133"/>
        <v>42.94028191582639</v>
      </c>
      <c r="I1051" s="1" t="str">
        <f t="shared" si="134"/>
        <v>Medium</v>
      </c>
      <c r="J1051">
        <f t="shared" si="135"/>
        <v>4.9355108860821364</v>
      </c>
      <c r="K1051">
        <f t="shared" si="136"/>
        <v>40.820959627356423</v>
      </c>
      <c r="L1051">
        <f t="shared" si="137"/>
        <v>4.9355108860821266</v>
      </c>
    </row>
    <row r="1052" spans="1:12" x14ac:dyDescent="0.25">
      <c r="A1052" s="3">
        <v>42688</v>
      </c>
      <c r="B1052" s="3" t="str">
        <f t="shared" si="130"/>
        <v>Nov</v>
      </c>
      <c r="C1052" s="3" t="str">
        <f t="shared" si="131"/>
        <v>2016</v>
      </c>
      <c r="D1052" s="3" t="str">
        <f t="shared" si="132"/>
        <v>Monday</v>
      </c>
      <c r="E1052">
        <v>87834.253679999994</v>
      </c>
      <c r="F1052">
        <v>83068.269029999996</v>
      </c>
      <c r="G1052">
        <v>2046</v>
      </c>
      <c r="H1052" s="1">
        <f t="shared" si="133"/>
        <v>42.929742756598237</v>
      </c>
      <c r="I1052" s="1" t="str">
        <f t="shared" si="134"/>
        <v>Low</v>
      </c>
      <c r="J1052">
        <f t="shared" si="135"/>
        <v>5.4261116253842792</v>
      </c>
      <c r="K1052">
        <f t="shared" si="136"/>
        <v>40.600326994134896</v>
      </c>
      <c r="L1052">
        <f t="shared" si="137"/>
        <v>5.4261116253842765</v>
      </c>
    </row>
    <row r="1053" spans="1:12" x14ac:dyDescent="0.25">
      <c r="A1053" s="3">
        <v>42689</v>
      </c>
      <c r="B1053" s="3" t="str">
        <f t="shared" si="130"/>
        <v>Nov</v>
      </c>
      <c r="C1053" s="3" t="str">
        <f t="shared" si="131"/>
        <v>2016</v>
      </c>
      <c r="D1053" s="3" t="str">
        <f t="shared" si="132"/>
        <v>Tuesday</v>
      </c>
      <c r="E1053">
        <v>95509.134980000003</v>
      </c>
      <c r="F1053">
        <v>88104.204530000003</v>
      </c>
      <c r="G1053">
        <v>2181</v>
      </c>
      <c r="H1053" s="1">
        <f t="shared" si="133"/>
        <v>43.791441989912883</v>
      </c>
      <c r="I1053" s="1" t="str">
        <f t="shared" si="134"/>
        <v>Low</v>
      </c>
      <c r="J1053">
        <f t="shared" si="135"/>
        <v>7.7531122562785448</v>
      </c>
      <c r="K1053">
        <f t="shared" si="136"/>
        <v>40.396242333791839</v>
      </c>
      <c r="L1053">
        <f t="shared" si="137"/>
        <v>7.7531122562785422</v>
      </c>
    </row>
    <row r="1054" spans="1:12" x14ac:dyDescent="0.25">
      <c r="A1054" s="3">
        <v>42690</v>
      </c>
      <c r="B1054" s="3" t="str">
        <f t="shared" si="130"/>
        <v>Nov</v>
      </c>
      <c r="C1054" s="3" t="str">
        <f t="shared" si="131"/>
        <v>2016</v>
      </c>
      <c r="D1054" s="3" t="str">
        <f t="shared" si="132"/>
        <v>Wednesday</v>
      </c>
      <c r="E1054">
        <v>77229.971890000001</v>
      </c>
      <c r="F1054">
        <v>71428.87</v>
      </c>
      <c r="G1054">
        <v>1763</v>
      </c>
      <c r="H1054" s="1">
        <f t="shared" si="133"/>
        <v>43.805996534316506</v>
      </c>
      <c r="I1054" s="1" t="str">
        <f t="shared" si="134"/>
        <v>Medium</v>
      </c>
      <c r="J1054">
        <f t="shared" si="135"/>
        <v>7.5114644587241539</v>
      </c>
      <c r="K1054">
        <f t="shared" si="136"/>
        <v>40.515524673851388</v>
      </c>
      <c r="L1054">
        <f t="shared" si="137"/>
        <v>7.5114644587241512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data 1</vt:lpstr>
      <vt:lpstr>daily 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nolwazi ndiweni</dc:creator>
  <cp:lastModifiedBy>nolwazi ndiweni</cp:lastModifiedBy>
  <dcterms:created xsi:type="dcterms:W3CDTF">2026-04-11T08:34:11Z</dcterms:created>
  <dcterms:modified xsi:type="dcterms:W3CDTF">2026-04-22T14:07:39Z</dcterms:modified>
</cp:coreProperties>
</file>